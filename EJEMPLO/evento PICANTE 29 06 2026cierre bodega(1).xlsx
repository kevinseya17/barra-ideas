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22d8bc0accc0d32/Documentos/DAVID/PICANTE ESTRIDENTE/"/>
    </mc:Choice>
  </mc:AlternateContent>
  <xr:revisionPtr revIDLastSave="28" documentId="8_{4CE75D0F-4A21-4FE0-8CF8-078653255427}" xr6:coauthVersionLast="47" xr6:coauthVersionMax="47" xr10:uidLastSave="{251D80AE-FF31-4285-8E1C-90DA80D4288E}"/>
  <bookViews>
    <workbookView xWindow="-108" yWindow="-108" windowWidth="23256" windowHeight="12456" xr2:uid="{00000000-000D-0000-FFFF-FFFF00000000}"/>
  </bookViews>
  <sheets>
    <sheet name="BODEGA PRINCIPAL" sheetId="10" r:id="rId1"/>
    <sheet name="BARRA ANDRES" sheetId="4" r:id="rId2"/>
    <sheet name="CORTESIAS ANDRES" sheetId="11" r:id="rId3"/>
    <sheet name="BARRA MAY" sheetId="7" r:id="rId4"/>
    <sheet name="CORTESIAS MAY" sheetId="12" r:id="rId5"/>
    <sheet name="BARRA BRANDON" sheetId="8" r:id="rId6"/>
    <sheet name="CORTESIAS BRANDON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0" i="10" l="1"/>
  <c r="N4" i="10"/>
  <c r="N5" i="10"/>
  <c r="N6" i="10"/>
  <c r="N7" i="10"/>
  <c r="O7" i="10" s="1"/>
  <c r="N8" i="10"/>
  <c r="N9" i="10"/>
  <c r="N10" i="10"/>
  <c r="N11" i="10"/>
  <c r="O11" i="10" s="1"/>
  <c r="N13" i="10"/>
  <c r="N14" i="10"/>
  <c r="N16" i="10"/>
  <c r="N17" i="10"/>
  <c r="N18" i="10"/>
  <c r="N19" i="10"/>
  <c r="O19" i="10" s="1"/>
  <c r="N20" i="10"/>
  <c r="N22" i="10"/>
  <c r="N23" i="10"/>
  <c r="O23" i="10" s="1"/>
  <c r="N25" i="10"/>
  <c r="N26" i="10"/>
  <c r="N27" i="10"/>
  <c r="O27" i="10" s="1"/>
  <c r="N29" i="10"/>
  <c r="N30" i="10"/>
  <c r="N31" i="10"/>
  <c r="O31" i="10" s="1"/>
  <c r="N33" i="10"/>
  <c r="N36" i="10"/>
  <c r="N37" i="10"/>
  <c r="N38" i="10"/>
  <c r="N40" i="10"/>
  <c r="N41" i="10"/>
  <c r="N43" i="10"/>
  <c r="O43" i="10" s="1"/>
  <c r="N3" i="10"/>
  <c r="O4" i="10"/>
  <c r="O5" i="10"/>
  <c r="O6" i="10"/>
  <c r="O8" i="10"/>
  <c r="O9" i="10"/>
  <c r="O10" i="10"/>
  <c r="O13" i="10"/>
  <c r="O14" i="10"/>
  <c r="O16" i="10"/>
  <c r="O17" i="10"/>
  <c r="O18" i="10"/>
  <c r="O20" i="10"/>
  <c r="O22" i="10"/>
  <c r="O25" i="10"/>
  <c r="O26" i="10"/>
  <c r="O29" i="10"/>
  <c r="O30" i="10"/>
  <c r="O33" i="10"/>
  <c r="O36" i="10"/>
  <c r="O37" i="10"/>
  <c r="O38" i="10"/>
  <c r="O40" i="10"/>
  <c r="O41" i="10"/>
  <c r="O3" i="10"/>
  <c r="H13" i="10"/>
  <c r="L4" i="10"/>
  <c r="L14" i="10"/>
  <c r="L19" i="10"/>
  <c r="L26" i="10"/>
  <c r="L29" i="10"/>
  <c r="L37" i="10"/>
  <c r="I27" i="10"/>
  <c r="J27" i="10" s="1"/>
  <c r="I22" i="10"/>
  <c r="J22" i="10" s="1"/>
  <c r="I38" i="10"/>
  <c r="L38" i="10" s="1"/>
  <c r="I40" i="10"/>
  <c r="J40" i="10" s="1"/>
  <c r="D37" i="10"/>
  <c r="I37" i="10" s="1"/>
  <c r="J37" i="10" s="1"/>
  <c r="J43" i="10"/>
  <c r="D42" i="10"/>
  <c r="I42" i="10" s="1"/>
  <c r="L42" i="10" s="1"/>
  <c r="D41" i="10"/>
  <c r="I41" i="10" s="1"/>
  <c r="D34" i="10"/>
  <c r="D33" i="10"/>
  <c r="D31" i="10"/>
  <c r="I31" i="10" s="1"/>
  <c r="J31" i="10" s="1"/>
  <c r="D20" i="10"/>
  <c r="D16" i="10"/>
  <c r="I16" i="10" s="1"/>
  <c r="J16" i="10" s="1"/>
  <c r="D14" i="10"/>
  <c r="I14" i="10" s="1"/>
  <c r="J14" i="10" s="1"/>
  <c r="D13" i="10"/>
  <c r="I13" i="10" s="1"/>
  <c r="J13" i="10" s="1"/>
  <c r="D10" i="10"/>
  <c r="D9" i="10"/>
  <c r="D7" i="10"/>
  <c r="D6" i="10"/>
  <c r="D5" i="10"/>
  <c r="D4" i="10"/>
  <c r="I4" i="10" s="1"/>
  <c r="J4" i="10" s="1"/>
  <c r="D3" i="10"/>
  <c r="I36" i="10"/>
  <c r="J36" i="10" s="1"/>
  <c r="I30" i="10"/>
  <c r="J30" i="10" s="1"/>
  <c r="I29" i="10"/>
  <c r="J29" i="10" s="1"/>
  <c r="I26" i="10"/>
  <c r="J26" i="10" s="1"/>
  <c r="I25" i="10"/>
  <c r="J25" i="10" s="1"/>
  <c r="I23" i="10"/>
  <c r="J23" i="10" s="1"/>
  <c r="I19" i="10"/>
  <c r="J19" i="10" s="1"/>
  <c r="I18" i="10"/>
  <c r="J18" i="10" s="1"/>
  <c r="I11" i="10"/>
  <c r="J11" i="10" s="1"/>
  <c r="I8" i="10"/>
  <c r="J8" i="10" s="1"/>
  <c r="N42" i="10" l="1"/>
  <c r="O42" i="10" s="1"/>
  <c r="L41" i="10"/>
  <c r="L36" i="10"/>
  <c r="L30" i="10"/>
  <c r="L25" i="10"/>
  <c r="L40" i="10"/>
  <c r="L23" i="10"/>
  <c r="L18" i="10"/>
  <c r="L13" i="10"/>
  <c r="L8" i="10"/>
  <c r="L27" i="10"/>
  <c r="L22" i="10"/>
  <c r="L16" i="10"/>
  <c r="L11" i="10"/>
  <c r="L31" i="10"/>
  <c r="I3" i="10"/>
  <c r="I7" i="10"/>
  <c r="I34" i="10"/>
  <c r="N34" i="10" s="1"/>
  <c r="O34" i="10" s="1"/>
  <c r="I6" i="10"/>
  <c r="I33" i="10"/>
  <c r="J38" i="10"/>
  <c r="I9" i="10"/>
  <c r="I5" i="10"/>
  <c r="I10" i="10"/>
  <c r="I20" i="10"/>
  <c r="J41" i="10"/>
  <c r="J42" i="10"/>
  <c r="J10" i="10" l="1"/>
  <c r="L10" i="10"/>
  <c r="J33" i="10"/>
  <c r="L33" i="10"/>
  <c r="J3" i="10"/>
  <c r="L3" i="10"/>
  <c r="J5" i="10"/>
  <c r="L5" i="10"/>
  <c r="J6" i="10"/>
  <c r="L6" i="10"/>
  <c r="J9" i="10"/>
  <c r="L9" i="10"/>
  <c r="J34" i="10"/>
  <c r="L34" i="10"/>
  <c r="J20" i="10"/>
  <c r="L20" i="10"/>
  <c r="O44" i="10"/>
  <c r="J50" i="10" s="1"/>
  <c r="J7" i="10"/>
  <c r="L7" i="10"/>
  <c r="J44" i="10"/>
  <c r="J49" i="10" s="1"/>
  <c r="L44" i="10" l="1"/>
  <c r="D5" i="8"/>
  <c r="I4" i="8"/>
  <c r="I6" i="8"/>
  <c r="J6" i="8" s="1"/>
  <c r="I7" i="8"/>
  <c r="J7" i="8" s="1"/>
  <c r="I8" i="8"/>
  <c r="I9" i="8"/>
  <c r="I10" i="8"/>
  <c r="J10" i="8" s="1"/>
  <c r="I11" i="8"/>
  <c r="J11" i="8" s="1"/>
  <c r="I13" i="8"/>
  <c r="I14" i="8"/>
  <c r="J14" i="8" s="1"/>
  <c r="I16" i="8"/>
  <c r="J16" i="8" s="1"/>
  <c r="I18" i="8"/>
  <c r="J18" i="8" s="1"/>
  <c r="I19" i="8"/>
  <c r="J19" i="8" s="1"/>
  <c r="I20" i="8"/>
  <c r="I22" i="8"/>
  <c r="J22" i="8" s="1"/>
  <c r="I23" i="8"/>
  <c r="J23" i="8" s="1"/>
  <c r="I25" i="8"/>
  <c r="I26" i="8"/>
  <c r="J26" i="8" s="1"/>
  <c r="I27" i="8"/>
  <c r="J27" i="8" s="1"/>
  <c r="I29" i="8"/>
  <c r="J29" i="8" s="1"/>
  <c r="I30" i="8"/>
  <c r="J30" i="8" s="1"/>
  <c r="I31" i="8"/>
  <c r="J31" i="8" s="1"/>
  <c r="I33" i="8"/>
  <c r="J33" i="8" s="1"/>
  <c r="I34" i="8"/>
  <c r="J34" i="8" s="1"/>
  <c r="I36" i="8"/>
  <c r="I37" i="8"/>
  <c r="I39" i="8"/>
  <c r="J39" i="8" s="1"/>
  <c r="I40" i="8"/>
  <c r="I41" i="8"/>
  <c r="I42" i="8"/>
  <c r="J42" i="8" s="1"/>
  <c r="I3" i="8"/>
  <c r="J3" i="8" s="1"/>
  <c r="I5" i="8"/>
  <c r="J5" i="8" s="1"/>
  <c r="E40" i="7"/>
  <c r="D5" i="4"/>
  <c r="D5" i="7"/>
  <c r="J41" i="8"/>
  <c r="J40" i="8"/>
  <c r="J37" i="8"/>
  <c r="J36" i="8"/>
  <c r="J25" i="8"/>
  <c r="J20" i="8"/>
  <c r="J13" i="8"/>
  <c r="J9" i="8"/>
  <c r="J8" i="8"/>
  <c r="J4" i="8"/>
  <c r="I42" i="7"/>
  <c r="J42" i="7" s="1"/>
  <c r="I41" i="7"/>
  <c r="J41" i="7" s="1"/>
  <c r="I40" i="7"/>
  <c r="J40" i="7" s="1"/>
  <c r="I39" i="7"/>
  <c r="J39" i="7" s="1"/>
  <c r="I37" i="7"/>
  <c r="J37" i="7" s="1"/>
  <c r="I36" i="7"/>
  <c r="J36" i="7" s="1"/>
  <c r="I34" i="7"/>
  <c r="J34" i="7" s="1"/>
  <c r="I33" i="7"/>
  <c r="J33" i="7" s="1"/>
  <c r="I31" i="7"/>
  <c r="J31" i="7" s="1"/>
  <c r="I30" i="7"/>
  <c r="J30" i="7" s="1"/>
  <c r="I29" i="7"/>
  <c r="J29" i="7" s="1"/>
  <c r="I27" i="7"/>
  <c r="J27" i="7" s="1"/>
  <c r="I26" i="7"/>
  <c r="J26" i="7" s="1"/>
  <c r="I25" i="7"/>
  <c r="J25" i="7" s="1"/>
  <c r="I23" i="7"/>
  <c r="J23" i="7" s="1"/>
  <c r="I22" i="7"/>
  <c r="J22" i="7" s="1"/>
  <c r="I20" i="7"/>
  <c r="J20" i="7" s="1"/>
  <c r="I19" i="7"/>
  <c r="J19" i="7" s="1"/>
  <c r="I18" i="7"/>
  <c r="J18" i="7" s="1"/>
  <c r="I16" i="7"/>
  <c r="J16" i="7" s="1"/>
  <c r="I14" i="7"/>
  <c r="J14" i="7" s="1"/>
  <c r="I13" i="7"/>
  <c r="J13" i="7" s="1"/>
  <c r="I11" i="7"/>
  <c r="J11" i="7" s="1"/>
  <c r="I10" i="7"/>
  <c r="J10" i="7" s="1"/>
  <c r="I9" i="7"/>
  <c r="J9" i="7" s="1"/>
  <c r="I8" i="7"/>
  <c r="J8" i="7" s="1"/>
  <c r="I7" i="7"/>
  <c r="J7" i="7" s="1"/>
  <c r="I6" i="7"/>
  <c r="J6" i="7" s="1"/>
  <c r="I5" i="7"/>
  <c r="J5" i="7" s="1"/>
  <c r="I4" i="7"/>
  <c r="J4" i="7" s="1"/>
  <c r="I3" i="7"/>
  <c r="J3" i="7" s="1"/>
  <c r="I20" i="4"/>
  <c r="J20" i="4" s="1"/>
  <c r="I41" i="4"/>
  <c r="J41" i="4" s="1"/>
  <c r="I42" i="4"/>
  <c r="J42" i="4" s="1"/>
  <c r="I40" i="4"/>
  <c r="J40" i="4" s="1"/>
  <c r="I39" i="4"/>
  <c r="J39" i="4" s="1"/>
  <c r="I37" i="4"/>
  <c r="J37" i="4" s="1"/>
  <c r="I36" i="4"/>
  <c r="J36" i="4" s="1"/>
  <c r="I34" i="4"/>
  <c r="J34" i="4" s="1"/>
  <c r="I33" i="4"/>
  <c r="J33" i="4" s="1"/>
  <c r="I31" i="4"/>
  <c r="J31" i="4" s="1"/>
  <c r="I30" i="4"/>
  <c r="J30" i="4" s="1"/>
  <c r="I29" i="4"/>
  <c r="J29" i="4" s="1"/>
  <c r="I27" i="4"/>
  <c r="J27" i="4" s="1"/>
  <c r="I26" i="4"/>
  <c r="J26" i="4" s="1"/>
  <c r="I25" i="4"/>
  <c r="J25" i="4" s="1"/>
  <c r="I23" i="4"/>
  <c r="J23" i="4" s="1"/>
  <c r="I22" i="4"/>
  <c r="J22" i="4" s="1"/>
  <c r="I19" i="4"/>
  <c r="J19" i="4" s="1"/>
  <c r="I18" i="4"/>
  <c r="J18" i="4" s="1"/>
  <c r="I16" i="4"/>
  <c r="J16" i="4" s="1"/>
  <c r="I14" i="4"/>
  <c r="J14" i="4" s="1"/>
  <c r="I13" i="4"/>
  <c r="J13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J43" i="4" l="1"/>
  <c r="J43" i="8"/>
  <c r="J43" i="7"/>
</calcChain>
</file>

<file path=xl/sharedStrings.xml><?xml version="1.0" encoding="utf-8"?>
<sst xmlns="http://schemas.openxmlformats.org/spreadsheetml/2006/main" count="827" uniqueCount="180">
  <si>
    <t>Producto</t>
  </si>
  <si>
    <t xml:space="preserve">Presentacion </t>
  </si>
  <si>
    <t xml:space="preserve">Valor </t>
  </si>
  <si>
    <t xml:space="preserve">Inicial </t>
  </si>
  <si>
    <t>Recargas</t>
  </si>
  <si>
    <t>Cortesias</t>
  </si>
  <si>
    <t>Bajas</t>
  </si>
  <si>
    <t>Final</t>
  </si>
  <si>
    <t>Venta total producto</t>
  </si>
  <si>
    <t>Venta total</t>
  </si>
  <si>
    <t>JP CHENET</t>
  </si>
  <si>
    <t>DON JULIO 70</t>
  </si>
  <si>
    <t>DON JULIO BLANCO</t>
  </si>
  <si>
    <t>TANQUERAY LONDON</t>
  </si>
  <si>
    <t>ABSOLUT</t>
  </si>
  <si>
    <t>GINGER</t>
  </si>
  <si>
    <t>SODA</t>
  </si>
  <si>
    <t>COCA COLA</t>
  </si>
  <si>
    <t>AGUA</t>
  </si>
  <si>
    <t>RED BULL</t>
  </si>
  <si>
    <t>JUGO DEL VALLE</t>
  </si>
  <si>
    <t>CHICLES</t>
  </si>
  <si>
    <t>TOTAL</t>
  </si>
  <si>
    <t>GATORADE</t>
  </si>
  <si>
    <t>TONICA</t>
  </si>
  <si>
    <t>GATORLIT</t>
  </si>
  <si>
    <t>CERVEZAS</t>
  </si>
  <si>
    <t>BUDWEISER</t>
  </si>
  <si>
    <t>CORONA</t>
  </si>
  <si>
    <t>BEBIDAS</t>
  </si>
  <si>
    <t>SMIRNOFF LATA</t>
  </si>
  <si>
    <t>WHISKEY</t>
  </si>
  <si>
    <t>BOTELLA WHISKY BUCHANAS MASTER</t>
  </si>
  <si>
    <t>BOTELLA WHISKY BUCHANAS 12 AÑOS</t>
  </si>
  <si>
    <t>SELLO ROJO</t>
  </si>
  <si>
    <t>VINOS Y ESPUMOSOS</t>
  </si>
  <si>
    <t>CHANDON DELICE</t>
  </si>
  <si>
    <t xml:space="preserve">BOTELLA JP CHENET </t>
  </si>
  <si>
    <t>TEQUILA</t>
  </si>
  <si>
    <t>JIMADOR</t>
  </si>
  <si>
    <t>VODKA</t>
  </si>
  <si>
    <t>SMIRNOFF LULO</t>
  </si>
  <si>
    <t>SMIRNOFF TAMARINDO</t>
  </si>
  <si>
    <t>GINEBRA</t>
  </si>
  <si>
    <t>GORDONS</t>
  </si>
  <si>
    <t xml:space="preserve">LICORES NACIONALES </t>
  </si>
  <si>
    <t>RON TRADICIONAL</t>
  </si>
  <si>
    <t>AGUARDIENTE FIESTA</t>
  </si>
  <si>
    <t>OTROS</t>
  </si>
  <si>
    <t xml:space="preserve">CHICLES </t>
  </si>
  <si>
    <t>BOMBONES</t>
  </si>
  <si>
    <t>CIGARILLOS</t>
  </si>
  <si>
    <t>GASEOSAS Y OTROS</t>
  </si>
  <si>
    <t xml:space="preserve">ABSOLUT </t>
  </si>
  <si>
    <t>BLANCO DEL VALLE</t>
  </si>
  <si>
    <t>BUCHANAS DELUXE</t>
  </si>
  <si>
    <t>BUCHANAS MASTER</t>
  </si>
  <si>
    <t>GODONS</t>
  </si>
  <si>
    <t>JAGGER</t>
  </si>
  <si>
    <t>JIMADOR BLANCO</t>
  </si>
  <si>
    <t>SELLO ROJO BOTELLA</t>
  </si>
  <si>
    <t>TANQUERAY</t>
  </si>
  <si>
    <t>VIEJO DE CALDAS</t>
  </si>
  <si>
    <t>TRIDENS</t>
  </si>
  <si>
    <t>GATORLITE</t>
  </si>
  <si>
    <t>MEDIA DEM MARLBORO</t>
  </si>
  <si>
    <t>PRODUCTO</t>
  </si>
  <si>
    <t>RECARGAS</t>
  </si>
  <si>
    <t>BODEGA CENTRAL</t>
  </si>
  <si>
    <t/>
  </si>
  <si>
    <t>02:18 a. m.</t>
  </si>
  <si>
    <t>02:46 a. m.</t>
  </si>
  <si>
    <t>PERSONAL</t>
  </si>
  <si>
    <t>COMSION</t>
  </si>
  <si>
    <t>CORTESÍAS</t>
  </si>
  <si>
    <t>HORA</t>
  </si>
  <si>
    <t>CANT</t>
  </si>
  <si>
    <t>P. VENTA UNIT ($)</t>
  </si>
  <si>
    <t>VALOR TOTAL ($)</t>
  </si>
  <si>
    <t>PARA</t>
  </si>
  <si>
    <t>MOTIVO</t>
  </si>
  <si>
    <t>06:28 a. m.</t>
  </si>
  <si>
    <t>CAMIONETA</t>
  </si>
  <si>
    <t>06:27 a. m.</t>
  </si>
  <si>
    <t>AMBULANCIA</t>
  </si>
  <si>
    <t>SANTIAGO ANGEL</t>
  </si>
  <si>
    <t>06:26 a. m.</t>
  </si>
  <si>
    <t>06:25 a. m.</t>
  </si>
  <si>
    <t>GERMAN</t>
  </si>
  <si>
    <t>06:24 a. m.</t>
  </si>
  <si>
    <t>REBELLON</t>
  </si>
  <si>
    <t>04:44 a. m.</t>
  </si>
  <si>
    <t>04:45 a. m.</t>
  </si>
  <si>
    <t>04:46 a. m.</t>
  </si>
  <si>
    <t>PONCHO</t>
  </si>
  <si>
    <t>04:47 a. m.</t>
  </si>
  <si>
    <t>04:48 a. m.</t>
  </si>
  <si>
    <t>SANTANDER</t>
  </si>
  <si>
    <t>04:49 a. m.</t>
  </si>
  <si>
    <t>CEO</t>
  </si>
  <si>
    <t>ROBELLON</t>
  </si>
  <si>
    <t>04:50 a. m.</t>
  </si>
  <si>
    <t>04:51 a. m.</t>
  </si>
  <si>
    <t>ALEXANDRA ORDOÑEZ</t>
  </si>
  <si>
    <t>04:53 a. m.</t>
  </si>
  <si>
    <t>POLICIA</t>
  </si>
  <si>
    <t>04:54 a. m.</t>
  </si>
  <si>
    <t>DJ DAVID GARCIA</t>
  </si>
  <si>
    <t>04:55 a. m.</t>
  </si>
  <si>
    <t>MIGUEL</t>
  </si>
  <si>
    <t>07:28 a. m.</t>
  </si>
  <si>
    <t>DAVID CANO</t>
  </si>
  <si>
    <t>07:27 a. m.</t>
  </si>
  <si>
    <t>PEROSONAL</t>
  </si>
  <si>
    <t>08:09 a. m.</t>
  </si>
  <si>
    <t>08:08 a. m.</t>
  </si>
  <si>
    <t>UTOPIC</t>
  </si>
  <si>
    <t>04:57 a. m.</t>
  </si>
  <si>
    <t>DVS1</t>
  </si>
  <si>
    <t>DAX J</t>
  </si>
  <si>
    <t>ANNE</t>
  </si>
  <si>
    <t>04:59 a. m.</t>
  </si>
  <si>
    <t>SONG OF HIDDEN</t>
  </si>
  <si>
    <t>05:00 a. m.</t>
  </si>
  <si>
    <t>05:02 a. m.</t>
  </si>
  <si>
    <t>05:03 a. m.</t>
  </si>
  <si>
    <t>RICHI</t>
  </si>
  <si>
    <t>05:04 a. m.</t>
  </si>
  <si>
    <t>05:05 a. m.</t>
  </si>
  <si>
    <t>JEAN FOTOGRAFO (RICHI)</t>
  </si>
  <si>
    <t>05:06 a. m.</t>
  </si>
  <si>
    <t>05:07 a. m.</t>
  </si>
  <si>
    <t>DIEGO</t>
  </si>
  <si>
    <t>05:08 a. m.</t>
  </si>
  <si>
    <t>05:10 a. m.</t>
  </si>
  <si>
    <t>05:11 a. m.</t>
  </si>
  <si>
    <t>DIEGO GORDILLO</t>
  </si>
  <si>
    <t>05:12 a. m.</t>
  </si>
  <si>
    <t>MARIANA</t>
  </si>
  <si>
    <t>08:07 a. m.</t>
  </si>
  <si>
    <t>BAJAS</t>
  </si>
  <si>
    <t>DAÑADAS SALIERON</t>
  </si>
  <si>
    <t>07:29 a. m.</t>
  </si>
  <si>
    <t>SE PARTIO</t>
  </si>
  <si>
    <t>DAÑADAS</t>
  </si>
  <si>
    <t>DAÑADA</t>
  </si>
  <si>
    <t>PROVEEDOR</t>
  </si>
  <si>
    <t>10:18 p. m.</t>
  </si>
  <si>
    <t>10:19 p. m.</t>
  </si>
  <si>
    <t>10:21 p. m.</t>
  </si>
  <si>
    <t>10:22 p. m.</t>
  </si>
  <si>
    <t>10:23 p. m.</t>
  </si>
  <si>
    <t>10:24 p. m.</t>
  </si>
  <si>
    <t>02:12 a. m.</t>
  </si>
  <si>
    <t>03:36 a. m.</t>
  </si>
  <si>
    <t>10:05 p. m.</t>
  </si>
  <si>
    <t>10:06 p. m.</t>
  </si>
  <si>
    <t>10:07 p. m.</t>
  </si>
  <si>
    <t>10:08 p. m.</t>
  </si>
  <si>
    <t>10:09 p. m.</t>
  </si>
  <si>
    <t>10:10 p. m.</t>
  </si>
  <si>
    <t>10:11 p. m.</t>
  </si>
  <si>
    <t>09:50 p. m.</t>
  </si>
  <si>
    <t>09:51 p. m.</t>
  </si>
  <si>
    <t>09:52 p. m.</t>
  </si>
  <si>
    <t>09:53 p. m.</t>
  </si>
  <si>
    <t>09:54 p. m.</t>
  </si>
  <si>
    <t>09:55 p. m.</t>
  </si>
  <si>
    <t>09:56 p. m.</t>
  </si>
  <si>
    <t>03:35 a. m.</t>
  </si>
  <si>
    <t>TOTAL PRODUCTO</t>
  </si>
  <si>
    <t>COSTO PRODUCTO</t>
  </si>
  <si>
    <t>efectivo</t>
  </si>
  <si>
    <t>datafono</t>
  </si>
  <si>
    <t>gastos</t>
  </si>
  <si>
    <t>UTILIDAD</t>
  </si>
  <si>
    <t>FALTANTE POR PAGAR</t>
  </si>
  <si>
    <t xml:space="preserve">KOLVITOS GERMAN </t>
  </si>
  <si>
    <t xml:space="preserve">COMISIONES </t>
  </si>
  <si>
    <t>PROPINAS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</si>
</sst>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 $]#,##0"/>
    <numFmt numFmtId="165" formatCode="_-* #,##0_-;\-* #,##0_-;_-* &quot;-&quot;??_-;_-@"/>
    <numFmt numFmtId="166" formatCode="_-&quot;$&quot;\ * #,##0_-;\-&quot;$&quot;\ * #,##0_-;_-&quot;$&quot;\ * &quot;-&quot;??_-;_-@_-"/>
  </numFmts>
  <fonts count="2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theme="1"/>
      <name val="Calibri"/>
      <family val="2"/>
    </font>
    <font>
      <b/>
      <sz val="14"/>
      <name val="Calibri"/>
      <family val="2"/>
    </font>
    <font>
      <sz val="10"/>
      <color rgb="FF00000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D9D9D9"/>
      </patternFill>
    </fill>
    <fill>
      <patternFill patternType="solid">
        <fgColor rgb="FFF3F4F6"/>
      </patternFill>
    </fill>
    <fill>
      <patternFill patternType="solid">
        <fgColor rgb="FF4F46E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0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CCCC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5">
    <xf numFmtId="0" fontId="0" fillId="0" borderId="0"/>
    <xf numFmtId="44" fontId="8" fillId="0" borderId="0" applyFont="0" applyFill="0" applyBorder="0" applyAlignment="0" applyProtection="0"/>
    <xf numFmtId="0" fontId="1" fillId="0" borderId="0"/>
    <xf numFmtId="0" fontId="16" fillId="0" borderId="0"/>
    <xf numFmtId="43" fontId="21" fillId="0" borderId="0" applyFont="0" applyFill="0" applyBorder="0" applyAlignment="0" applyProtection="0"/>
  </cellStyleXfs>
  <cellXfs count="110">
    <xf numFmtId="0" fontId="0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/>
    <xf numFmtId="0" fontId="4" fillId="0" borderId="0" xfId="0" applyFont="1" applyAlignment="1"/>
    <xf numFmtId="0" fontId="9" fillId="0" borderId="3" xfId="0" applyFont="1" applyBorder="1"/>
    <xf numFmtId="0" fontId="10" fillId="6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5" fillId="0" borderId="5" xfId="0" applyFont="1" applyBorder="1" applyAlignment="1"/>
    <xf numFmtId="0" fontId="7" fillId="5" borderId="6" xfId="0" applyFont="1" applyFill="1" applyBorder="1" applyAlignment="1">
      <alignment horizontal="center"/>
    </xf>
    <xf numFmtId="164" fontId="7" fillId="5" borderId="6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4" fillId="7" borderId="4" xfId="0" applyFont="1" applyFill="1" applyBorder="1" applyAlignment="1"/>
    <xf numFmtId="164" fontId="6" fillId="7" borderId="4" xfId="0" applyNumberFormat="1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4" fillId="4" borderId="4" xfId="0" applyFont="1" applyFill="1" applyBorder="1" applyAlignment="1"/>
    <xf numFmtId="164" fontId="6" fillId="4" borderId="4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3" fontId="4" fillId="7" borderId="4" xfId="0" applyNumberFormat="1" applyFont="1" applyFill="1" applyBorder="1" applyAlignment="1"/>
    <xf numFmtId="165" fontId="6" fillId="7" borderId="4" xfId="0" applyNumberFormat="1" applyFont="1" applyFill="1" applyBorder="1" applyAlignment="1">
      <alignment horizontal="center"/>
    </xf>
    <xf numFmtId="0" fontId="0" fillId="0" borderId="4" xfId="0" applyBorder="1"/>
    <xf numFmtId="0" fontId="5" fillId="0" borderId="1" xfId="0" applyFont="1" applyBorder="1" applyAlignment="1">
      <alignment horizontal="right"/>
    </xf>
    <xf numFmtId="0" fontId="5" fillId="6" borderId="1" xfId="0" applyFont="1" applyFill="1" applyBorder="1"/>
    <xf numFmtId="0" fontId="5" fillId="4" borderId="1" xfId="0" applyFont="1" applyFill="1" applyBorder="1"/>
    <xf numFmtId="0" fontId="0" fillId="0" borderId="0" xfId="0" applyBorder="1"/>
    <xf numFmtId="0" fontId="0" fillId="0" borderId="0" xfId="0" applyFont="1" applyBorder="1" applyAlignment="1"/>
    <xf numFmtId="0" fontId="11" fillId="8" borderId="0" xfId="0" applyFont="1" applyFill="1" applyBorder="1"/>
    <xf numFmtId="0" fontId="4" fillId="7" borderId="4" xfId="0" applyFont="1" applyFill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" fillId="0" borderId="4" xfId="2" applyBorder="1" applyAlignment="1">
      <alignment horizontal="right"/>
    </xf>
    <xf numFmtId="0" fontId="6" fillId="7" borderId="4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165" fontId="6" fillId="7" borderId="4" xfId="0" applyNumberFormat="1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3" fontId="4" fillId="7" borderId="4" xfId="0" applyNumberFormat="1" applyFont="1" applyFill="1" applyBorder="1" applyAlignment="1">
      <alignment horizontal="right"/>
    </xf>
    <xf numFmtId="0" fontId="0" fillId="0" borderId="4" xfId="0" applyFont="1" applyBorder="1" applyAlignment="1"/>
    <xf numFmtId="0" fontId="0" fillId="11" borderId="0" xfId="0" applyFill="1" applyBorder="1"/>
    <xf numFmtId="0" fontId="0" fillId="11" borderId="0" xfId="0" applyFont="1" applyFill="1" applyBorder="1" applyAlignment="1"/>
    <xf numFmtId="0" fontId="14" fillId="9" borderId="4" xfId="0" applyFont="1" applyFill="1" applyBorder="1" applyAlignment="1">
      <alignment horizontal="center" vertical="center"/>
    </xf>
    <xf numFmtId="0" fontId="0" fillId="11" borderId="4" xfId="0" applyFill="1" applyBorder="1"/>
    <xf numFmtId="0" fontId="18" fillId="0" borderId="1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7" fillId="13" borderId="4" xfId="0" applyFont="1" applyFill="1" applyBorder="1" applyAlignment="1">
      <alignment wrapText="1"/>
    </xf>
    <xf numFmtId="0" fontId="19" fillId="2" borderId="12" xfId="0" applyFont="1" applyFill="1" applyBorder="1" applyAlignment="1">
      <alignment horizontal="center" wrapText="1"/>
    </xf>
    <xf numFmtId="0" fontId="12" fillId="11" borderId="4" xfId="0" applyFont="1" applyFill="1" applyBorder="1" applyAlignment="1">
      <alignment horizontal="center" vertical="center"/>
    </xf>
    <xf numFmtId="0" fontId="11" fillId="11" borderId="4" xfId="0" applyFont="1" applyFill="1" applyBorder="1"/>
    <xf numFmtId="0" fontId="13" fillId="11" borderId="4" xfId="0" applyFont="1" applyFill="1" applyBorder="1"/>
    <xf numFmtId="0" fontId="20" fillId="0" borderId="0" xfId="0" applyFont="1"/>
    <xf numFmtId="166" fontId="0" fillId="0" borderId="4" xfId="1" applyNumberFormat="1" applyFont="1" applyBorder="1"/>
    <xf numFmtId="164" fontId="6" fillId="11" borderId="4" xfId="0" applyNumberFormat="1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 wrapText="1"/>
    </xf>
    <xf numFmtId="0" fontId="12" fillId="15" borderId="4" xfId="2" applyFont="1" applyFill="1" applyBorder="1" applyAlignment="1">
      <alignment horizontal="center" vertical="center"/>
    </xf>
    <xf numFmtId="0" fontId="11" fillId="11" borderId="4" xfId="2" applyFont="1" applyFill="1" applyBorder="1"/>
    <xf numFmtId="0" fontId="0" fillId="11" borderId="4" xfId="0" applyFont="1" applyFill="1" applyBorder="1" applyAlignment="1"/>
    <xf numFmtId="0" fontId="12" fillId="15" borderId="4" xfId="0" applyFont="1" applyFill="1" applyBorder="1" applyAlignment="1">
      <alignment horizontal="center" vertical="center"/>
    </xf>
    <xf numFmtId="0" fontId="1" fillId="11" borderId="4" xfId="2" applyFill="1" applyBorder="1"/>
    <xf numFmtId="0" fontId="11" fillId="15" borderId="4" xfId="0" applyFont="1" applyFill="1" applyBorder="1"/>
    <xf numFmtId="0" fontId="4" fillId="3" borderId="13" xfId="0" applyFont="1" applyFill="1" applyBorder="1" applyAlignment="1"/>
    <xf numFmtId="164" fontId="6" fillId="0" borderId="8" xfId="0" applyNumberFormat="1" applyFont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64" fontId="7" fillId="5" borderId="3" xfId="0" applyNumberFormat="1" applyFont="1" applyFill="1" applyBorder="1" applyAlignment="1">
      <alignment horizontal="center"/>
    </xf>
    <xf numFmtId="6" fontId="17" fillId="0" borderId="4" xfId="0" applyNumberFormat="1" applyFont="1" applyBorder="1" applyAlignment="1">
      <alignment horizontal="center" wrapText="1"/>
    </xf>
    <xf numFmtId="0" fontId="17" fillId="12" borderId="4" xfId="0" applyFont="1" applyFill="1" applyBorder="1" applyAlignment="1">
      <alignment wrapText="1"/>
    </xf>
    <xf numFmtId="8" fontId="17" fillId="0" borderId="4" xfId="0" applyNumberFormat="1" applyFont="1" applyBorder="1" applyAlignment="1">
      <alignment horizontal="center" wrapText="1"/>
    </xf>
    <xf numFmtId="6" fontId="13" fillId="16" borderId="4" xfId="0" applyNumberFormat="1" applyFont="1" applyFill="1" applyBorder="1" applyAlignment="1"/>
    <xf numFmtId="0" fontId="11" fillId="17" borderId="0" xfId="0" applyFont="1" applyFill="1" applyBorder="1"/>
    <xf numFmtId="0" fontId="0" fillId="17" borderId="0" xfId="0" applyFill="1" applyBorder="1"/>
    <xf numFmtId="0" fontId="0" fillId="17" borderId="0" xfId="0" applyFont="1" applyFill="1" applyBorder="1" applyAlignment="1"/>
    <xf numFmtId="0" fontId="14" fillId="17" borderId="0" xfId="0" applyFont="1" applyFill="1" applyBorder="1" applyAlignment="1">
      <alignment horizontal="center" vertical="center"/>
    </xf>
    <xf numFmtId="0" fontId="15" fillId="17" borderId="0" xfId="0" applyFont="1" applyFill="1" applyBorder="1"/>
    <xf numFmtId="166" fontId="0" fillId="0" borderId="0" xfId="1" applyNumberFormat="1" applyFont="1" applyAlignment="1"/>
    <xf numFmtId="0" fontId="19" fillId="2" borderId="7" xfId="0" applyFont="1" applyFill="1" applyBorder="1" applyAlignment="1">
      <alignment horizontal="center" wrapText="1"/>
    </xf>
    <xf numFmtId="0" fontId="0" fillId="0" borderId="8" xfId="0" applyFont="1" applyBorder="1" applyAlignment="1"/>
    <xf numFmtId="6" fontId="0" fillId="0" borderId="8" xfId="0" applyNumberFormat="1" applyFont="1" applyBorder="1" applyAlignment="1"/>
    <xf numFmtId="0" fontId="17" fillId="12" borderId="8" xfId="0" applyFont="1" applyFill="1" applyBorder="1" applyAlignment="1">
      <alignment wrapText="1"/>
    </xf>
    <xf numFmtId="166" fontId="0" fillId="0" borderId="4" xfId="1" applyNumberFormat="1" applyFont="1" applyBorder="1" applyAlignment="1"/>
    <xf numFmtId="166" fontId="11" fillId="15" borderId="4" xfId="0" applyNumberFormat="1" applyFont="1" applyFill="1" applyBorder="1"/>
    <xf numFmtId="166" fontId="0" fillId="18" borderId="4" xfId="0" applyNumberFormat="1" applyFill="1" applyBorder="1"/>
    <xf numFmtId="166" fontId="8" fillId="0" borderId="4" xfId="1" applyNumberFormat="1" applyFont="1" applyBorder="1" applyAlignment="1"/>
    <xf numFmtId="1" fontId="0" fillId="0" borderId="4" xfId="4" applyNumberFormat="1" applyFont="1" applyBorder="1" applyAlignment="1"/>
    <xf numFmtId="0" fontId="11" fillId="15" borderId="4" xfId="0" applyFont="1" applyFill="1" applyBorder="1" applyAlignment="1">
      <alignment horizontal="center" vertical="center"/>
    </xf>
    <xf numFmtId="0" fontId="8" fillId="0" borderId="4" xfId="0" applyFont="1" applyBorder="1" applyAlignment="1"/>
    <xf numFmtId="0" fontId="8" fillId="0" borderId="4" xfId="0" applyFont="1" applyFill="1" applyBorder="1" applyAlignment="1"/>
    <xf numFmtId="0" fontId="8" fillId="10" borderId="4" xfId="0" applyFont="1" applyFill="1" applyBorder="1" applyAlignment="1"/>
    <xf numFmtId="164" fontId="0" fillId="10" borderId="4" xfId="0" applyNumberFormat="1" applyFont="1" applyFill="1" applyBorder="1" applyAlignment="1"/>
    <xf numFmtId="0" fontId="6" fillId="7" borderId="0" xfId="0" applyFont="1" applyFill="1" applyBorder="1" applyAlignment="1">
      <alignment horizontal="right"/>
    </xf>
    <xf numFmtId="0" fontId="4" fillId="7" borderId="0" xfId="0" applyFont="1" applyFill="1" applyBorder="1" applyAlignment="1">
      <alignment horizontal="right"/>
    </xf>
    <xf numFmtId="165" fontId="6" fillId="7" borderId="0" xfId="0" applyNumberFormat="1" applyFont="1" applyFill="1" applyBorder="1" applyAlignment="1">
      <alignment horizontal="right"/>
    </xf>
    <xf numFmtId="3" fontId="4" fillId="7" borderId="0" xfId="0" applyNumberFormat="1" applyFont="1" applyFill="1" applyBorder="1" applyAlignment="1">
      <alignment horizontal="right"/>
    </xf>
    <xf numFmtId="0" fontId="2" fillId="14" borderId="0" xfId="0" applyFont="1" applyFill="1" applyBorder="1" applyAlignment="1">
      <alignment horizontal="center" wrapText="1"/>
    </xf>
    <xf numFmtId="0" fontId="3" fillId="19" borderId="0" xfId="0" applyFont="1" applyFill="1" applyBorder="1" applyAlignment="1">
      <alignment horizontal="center" wrapText="1"/>
    </xf>
    <xf numFmtId="0" fontId="4" fillId="19" borderId="0" xfId="0" applyFont="1" applyFill="1" applyBorder="1" applyAlignment="1"/>
    <xf numFmtId="0" fontId="17" fillId="11" borderId="0" xfId="0" applyFont="1" applyFill="1" applyBorder="1" applyAlignment="1">
      <alignment horizontal="center" wrapText="1"/>
    </xf>
    <xf numFmtId="0" fontId="9" fillId="11" borderId="0" xfId="0" applyFont="1" applyFill="1" applyBorder="1"/>
    <xf numFmtId="0" fontId="6" fillId="11" borderId="0" xfId="0" applyFont="1" applyFill="1" applyBorder="1" applyAlignment="1">
      <alignment horizontal="right"/>
    </xf>
    <xf numFmtId="0" fontId="17" fillId="11" borderId="0" xfId="0" applyFont="1" applyFill="1" applyBorder="1" applyAlignment="1">
      <alignment horizontal="right" wrapText="1"/>
    </xf>
    <xf numFmtId="0" fontId="1" fillId="11" borderId="0" xfId="2" applyFill="1" applyBorder="1" applyAlignment="1">
      <alignment horizontal="right"/>
    </xf>
    <xf numFmtId="0" fontId="17" fillId="11" borderId="0" xfId="0" applyFont="1" applyFill="1" applyBorder="1" applyAlignment="1">
      <alignment wrapText="1"/>
    </xf>
    <xf numFmtId="0" fontId="10" fillId="20" borderId="0" xfId="0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5" fillId="11" borderId="0" xfId="0" applyFont="1" applyFill="1" applyBorder="1" applyAlignment="1"/>
    <xf numFmtId="0" fontId="18" fillId="11" borderId="0" xfId="0" applyFont="1" applyFill="1" applyBorder="1" applyAlignment="1">
      <alignment wrapText="1"/>
    </xf>
    <xf numFmtId="0" fontId="8" fillId="21" borderId="4" xfId="0" applyFont="1" applyFill="1" applyBorder="1" applyAlignment="1"/>
    <xf numFmtId="0" fontId="0" fillId="21" borderId="4" xfId="0" applyFont="1" applyFill="1" applyBorder="1" applyAlignment="1"/>
    <xf numFmtId="0" fontId="8" fillId="22" borderId="4" xfId="0" applyFont="1" applyFill="1" applyBorder="1" applyAlignment="1"/>
    <xf numFmtId="166" fontId="0" fillId="22" borderId="4" xfId="1" applyNumberFormat="1" applyFont="1" applyFill="1" applyBorder="1" applyAlignment="1"/>
    <xf numFmtId="166" fontId="0" fillId="11" borderId="4" xfId="1" applyNumberFormat="1" applyFont="1" applyFill="1" applyBorder="1" applyAlignment="1"/>
  </cellXfs>
  <cellStyles count="5">
    <cellStyle name="Millares" xfId="4" builtinId="3"/>
    <cellStyle name="Moneda" xfId="1" builtinId="4"/>
    <cellStyle name="Normal" xfId="0" builtinId="0"/>
    <cellStyle name="Normal 2" xfId="2" xr:uid="{EE601262-5062-444F-B0AE-B8EF44E2DE27}"/>
    <cellStyle name="Normal 3" xfId="3" xr:uid="{762BAFE3-4BA6-4AE1-811D-0D8345129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5DA0-E535-43B9-B646-49D1B4A44267}">
  <sheetPr>
    <outlinePr summaryBelow="0" summaryRight="0"/>
    <pageSetUpPr fitToPage="1"/>
  </sheetPr>
  <dimension ref="A1:Y99"/>
  <sheetViews>
    <sheetView tabSelected="1" topLeftCell="A19" zoomScale="70" zoomScaleNormal="70" workbookViewId="0">
      <selection activeCell="D54" sqref="D54"/>
    </sheetView>
  </sheetViews>
  <sheetFormatPr baseColWidth="10" defaultColWidth="12.6640625" defaultRowHeight="15.75" customHeight="1" x14ac:dyDescent="0.25"/>
  <cols>
    <col min="1" max="1" width="41" customWidth="1"/>
    <col min="2" max="2" width="15.33203125" bestFit="1" customWidth="1"/>
    <col min="6" max="7" width="12.6640625" customWidth="1"/>
    <col min="8" max="8" width="26.6640625" customWidth="1"/>
    <col min="9" max="9" width="15.21875" customWidth="1"/>
    <col min="10" max="10" width="16.33203125" customWidth="1"/>
    <col min="12" max="12" width="19.5546875" customWidth="1"/>
    <col min="13" max="13" width="26.44140625" customWidth="1"/>
    <col min="14" max="14" width="19.77734375" customWidth="1"/>
    <col min="15" max="15" width="23.33203125" customWidth="1"/>
    <col min="16" max="16" width="9.5546875" customWidth="1"/>
    <col min="19" max="19" width="18.88671875" customWidth="1"/>
    <col min="23" max="23" width="24.441406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6" t="s">
        <v>73</v>
      </c>
      <c r="L1" s="74" t="s">
        <v>22</v>
      </c>
      <c r="M1" s="78"/>
      <c r="N1" s="78"/>
      <c r="O1" s="53"/>
      <c r="P1" s="54"/>
      <c r="Q1" s="55"/>
      <c r="R1" s="55"/>
      <c r="S1" s="54"/>
      <c r="T1" s="56"/>
      <c r="U1" s="56"/>
      <c r="V1" s="56"/>
      <c r="W1" s="56"/>
      <c r="X1" s="56"/>
      <c r="Y1" s="56"/>
    </row>
    <row r="2" spans="1:25" ht="15.75" customHeight="1" x14ac:dyDescent="0.3">
      <c r="A2" s="2" t="s">
        <v>52</v>
      </c>
      <c r="B2" s="3"/>
      <c r="C2" s="3"/>
      <c r="D2" s="3"/>
      <c r="E2" s="3"/>
      <c r="F2" s="3"/>
      <c r="G2" s="3"/>
      <c r="H2" s="3"/>
      <c r="I2" s="3"/>
      <c r="J2" s="60"/>
      <c r="K2" s="37"/>
      <c r="L2" s="75"/>
      <c r="M2" s="78"/>
      <c r="N2" s="81" t="s">
        <v>170</v>
      </c>
      <c r="O2" s="83" t="s">
        <v>171</v>
      </c>
      <c r="P2" s="57"/>
      <c r="Q2" s="57"/>
      <c r="R2" s="58"/>
      <c r="S2" s="57"/>
      <c r="T2" s="57"/>
      <c r="U2" s="57"/>
      <c r="V2" s="56"/>
      <c r="W2" s="57"/>
      <c r="X2" s="57"/>
      <c r="Y2" s="56"/>
    </row>
    <row r="3" spans="1:25" ht="15.75" customHeight="1" x14ac:dyDescent="0.3">
      <c r="A3" s="5" t="s">
        <v>19</v>
      </c>
      <c r="B3" s="21">
        <v>18000</v>
      </c>
      <c r="C3" s="12">
        <v>18000</v>
      </c>
      <c r="D3" s="22">
        <f>240</f>
        <v>240</v>
      </c>
      <c r="E3" s="11"/>
      <c r="F3" s="29">
        <v>55</v>
      </c>
      <c r="G3" s="11"/>
      <c r="H3" s="29">
        <v>50</v>
      </c>
      <c r="I3" s="11">
        <f>(D3+E3-G3-H3-F3)</f>
        <v>135</v>
      </c>
      <c r="J3" s="61">
        <f t="shared" ref="J3:J43" si="0">I3*C3</f>
        <v>2430000</v>
      </c>
      <c r="K3" s="64">
        <v>500</v>
      </c>
      <c r="L3" s="76">
        <f>K3*I3</f>
        <v>67500</v>
      </c>
      <c r="M3" s="78">
        <v>6500</v>
      </c>
      <c r="N3" s="82">
        <f>F3+I3</f>
        <v>190</v>
      </c>
      <c r="O3" s="79">
        <f>N3*M3</f>
        <v>1235000</v>
      </c>
      <c r="P3" s="48"/>
      <c r="Q3" s="48"/>
      <c r="R3" s="58"/>
      <c r="S3" s="59"/>
      <c r="T3" s="48"/>
      <c r="U3" s="48"/>
      <c r="V3" s="56"/>
      <c r="W3" s="59"/>
      <c r="X3" s="48"/>
      <c r="Y3" s="56"/>
    </row>
    <row r="4" spans="1:25" ht="15.75" customHeight="1" x14ac:dyDescent="0.3">
      <c r="A4" s="5" t="s">
        <v>23</v>
      </c>
      <c r="B4" s="11"/>
      <c r="C4" s="12">
        <v>16000</v>
      </c>
      <c r="D4" s="22">
        <f>1200</f>
        <v>1200</v>
      </c>
      <c r="E4" s="11"/>
      <c r="F4" s="29">
        <v>59</v>
      </c>
      <c r="G4" s="11"/>
      <c r="H4" s="31">
        <v>457</v>
      </c>
      <c r="I4" s="11">
        <f>(D4+E4-G4-H4-F4)</f>
        <v>684</v>
      </c>
      <c r="J4" s="61">
        <f t="shared" si="0"/>
        <v>10944000</v>
      </c>
      <c r="K4" s="64">
        <v>500</v>
      </c>
      <c r="L4" s="76">
        <f t="shared" ref="L4:L42" si="1">K4*I4</f>
        <v>342000</v>
      </c>
      <c r="M4" s="78">
        <v>3100</v>
      </c>
      <c r="N4" s="82">
        <f t="shared" ref="N4:N43" si="2">F4+I4</f>
        <v>743</v>
      </c>
      <c r="O4" s="79">
        <f t="shared" ref="O4:O43" si="3">N4*M4</f>
        <v>2303300</v>
      </c>
      <c r="P4" s="41"/>
      <c r="Q4" s="41"/>
      <c r="R4" s="55"/>
      <c r="S4" s="41"/>
      <c r="T4" s="41"/>
      <c r="U4" s="41"/>
      <c r="V4" s="56"/>
      <c r="W4" s="41"/>
      <c r="X4" s="41"/>
      <c r="Y4" s="56"/>
    </row>
    <row r="5" spans="1:25" ht="15.75" customHeight="1" x14ac:dyDescent="0.3">
      <c r="A5" s="5" t="s">
        <v>18</v>
      </c>
      <c r="B5" s="11"/>
      <c r="C5" s="12">
        <v>12000</v>
      </c>
      <c r="D5" s="22">
        <f>2000</f>
        <v>2000</v>
      </c>
      <c r="E5" s="11"/>
      <c r="F5" s="29">
        <v>94</v>
      </c>
      <c r="G5" s="11">
        <v>4</v>
      </c>
      <c r="H5" s="29">
        <v>442</v>
      </c>
      <c r="I5" s="11">
        <f t="shared" ref="I5:I42" si="4">(D5+E5-G5-H5-F5)</f>
        <v>1460</v>
      </c>
      <c r="J5" s="61">
        <f t="shared" si="0"/>
        <v>17520000</v>
      </c>
      <c r="K5" s="64">
        <v>500</v>
      </c>
      <c r="L5" s="76">
        <f t="shared" si="1"/>
        <v>730000</v>
      </c>
      <c r="M5" s="78">
        <v>750</v>
      </c>
      <c r="N5" s="82">
        <f t="shared" si="2"/>
        <v>1554</v>
      </c>
      <c r="O5" s="79">
        <f t="shared" si="3"/>
        <v>1165500</v>
      </c>
      <c r="P5" s="41"/>
      <c r="Q5" s="41"/>
      <c r="R5" s="58"/>
      <c r="S5" s="41"/>
      <c r="T5" s="41"/>
      <c r="U5" s="41"/>
      <c r="V5" s="56"/>
      <c r="W5" s="41"/>
      <c r="X5" s="41"/>
      <c r="Y5" s="56"/>
    </row>
    <row r="6" spans="1:25" ht="15.75" customHeight="1" x14ac:dyDescent="0.3">
      <c r="A6" s="5" t="s">
        <v>16</v>
      </c>
      <c r="B6" s="11"/>
      <c r="C6" s="12">
        <v>12000</v>
      </c>
      <c r="D6" s="22">
        <f>120</f>
        <v>120</v>
      </c>
      <c r="E6" s="11"/>
      <c r="F6" s="29">
        <v>1</v>
      </c>
      <c r="G6" s="11"/>
      <c r="H6" s="29">
        <v>92</v>
      </c>
      <c r="I6" s="11">
        <f>(D6+E6-G6-H6-F6)</f>
        <v>27</v>
      </c>
      <c r="J6" s="61">
        <f t="shared" si="0"/>
        <v>324000</v>
      </c>
      <c r="K6" s="64">
        <v>500</v>
      </c>
      <c r="L6" s="76">
        <f t="shared" si="1"/>
        <v>13500</v>
      </c>
      <c r="M6" s="78">
        <v>2120</v>
      </c>
      <c r="N6" s="82">
        <f t="shared" si="2"/>
        <v>28</v>
      </c>
      <c r="O6" s="79">
        <f t="shared" si="3"/>
        <v>59360</v>
      </c>
      <c r="P6" s="41"/>
      <c r="Q6" s="41"/>
      <c r="R6" s="58"/>
      <c r="S6" s="41"/>
      <c r="T6" s="41"/>
      <c r="U6" s="41"/>
      <c r="V6" s="56"/>
      <c r="W6" s="41"/>
      <c r="X6" s="41"/>
      <c r="Y6" s="56"/>
    </row>
    <row r="7" spans="1:25" ht="15.75" customHeight="1" x14ac:dyDescent="0.3">
      <c r="A7" s="5" t="s">
        <v>24</v>
      </c>
      <c r="B7" s="11"/>
      <c r="C7" s="12">
        <v>12000</v>
      </c>
      <c r="D7" s="22">
        <f>96</f>
        <v>96</v>
      </c>
      <c r="E7" s="11"/>
      <c r="F7" s="29">
        <v>4</v>
      </c>
      <c r="G7" s="11"/>
      <c r="H7" s="29">
        <v>66</v>
      </c>
      <c r="I7" s="11">
        <f t="shared" si="4"/>
        <v>26</v>
      </c>
      <c r="J7" s="61">
        <f t="shared" si="0"/>
        <v>312000</v>
      </c>
      <c r="K7" s="64">
        <v>500</v>
      </c>
      <c r="L7" s="76">
        <f t="shared" si="1"/>
        <v>13000</v>
      </c>
      <c r="M7" s="78">
        <v>2400</v>
      </c>
      <c r="N7" s="82">
        <f t="shared" si="2"/>
        <v>30</v>
      </c>
      <c r="O7" s="79">
        <f t="shared" si="3"/>
        <v>72000</v>
      </c>
      <c r="P7" s="41"/>
      <c r="Q7" s="41"/>
      <c r="R7" s="55"/>
      <c r="S7" s="41"/>
      <c r="T7" s="41"/>
      <c r="U7" s="41"/>
      <c r="V7" s="56"/>
      <c r="W7" s="41"/>
      <c r="X7" s="41"/>
      <c r="Y7" s="56"/>
    </row>
    <row r="8" spans="1:25" ht="15.75" customHeight="1" x14ac:dyDescent="0.3">
      <c r="A8" s="5" t="s">
        <v>15</v>
      </c>
      <c r="B8" s="11"/>
      <c r="C8" s="12">
        <v>12000</v>
      </c>
      <c r="D8" s="22">
        <v>96</v>
      </c>
      <c r="E8" s="11"/>
      <c r="F8" s="29">
        <v>25</v>
      </c>
      <c r="G8" s="11"/>
      <c r="H8" s="29">
        <v>64</v>
      </c>
      <c r="I8" s="11">
        <f t="shared" si="4"/>
        <v>7</v>
      </c>
      <c r="J8" s="61">
        <f t="shared" si="0"/>
        <v>84000</v>
      </c>
      <c r="K8" s="64">
        <v>500</v>
      </c>
      <c r="L8" s="76">
        <f t="shared" si="1"/>
        <v>3500</v>
      </c>
      <c r="M8" s="78">
        <v>2120</v>
      </c>
      <c r="N8" s="82">
        <f t="shared" si="2"/>
        <v>32</v>
      </c>
      <c r="O8" s="79">
        <f t="shared" si="3"/>
        <v>67840</v>
      </c>
      <c r="P8" s="41"/>
      <c r="Q8" s="41"/>
      <c r="R8" s="58"/>
      <c r="S8" s="41"/>
      <c r="T8" s="41"/>
      <c r="U8" s="41"/>
      <c r="V8" s="56"/>
      <c r="W8" s="41"/>
      <c r="X8" s="41"/>
      <c r="Y8" s="56"/>
    </row>
    <row r="9" spans="1:25" ht="15.75" customHeight="1" x14ac:dyDescent="0.3">
      <c r="A9" s="5" t="s">
        <v>20</v>
      </c>
      <c r="B9" s="11"/>
      <c r="C9" s="12">
        <v>12000</v>
      </c>
      <c r="D9" s="22">
        <f>60</f>
        <v>60</v>
      </c>
      <c r="E9" s="11"/>
      <c r="F9" s="29">
        <v>2</v>
      </c>
      <c r="G9" s="11"/>
      <c r="H9" s="29">
        <v>42</v>
      </c>
      <c r="I9" s="11">
        <f t="shared" si="4"/>
        <v>16</v>
      </c>
      <c r="J9" s="61">
        <f t="shared" si="0"/>
        <v>192000</v>
      </c>
      <c r="K9" s="64">
        <v>500</v>
      </c>
      <c r="L9" s="76">
        <f t="shared" si="1"/>
        <v>8000</v>
      </c>
      <c r="M9" s="78">
        <v>1666</v>
      </c>
      <c r="N9" s="82">
        <f t="shared" si="2"/>
        <v>18</v>
      </c>
      <c r="O9" s="79">
        <f t="shared" si="3"/>
        <v>29988</v>
      </c>
      <c r="P9" s="41"/>
      <c r="Q9" s="41"/>
      <c r="R9" s="58"/>
      <c r="S9" s="41"/>
      <c r="T9" s="41"/>
      <c r="U9" s="41"/>
      <c r="V9" s="56"/>
      <c r="W9" s="41"/>
      <c r="X9" s="41"/>
      <c r="Y9" s="56"/>
    </row>
    <row r="10" spans="1:25" ht="15.75" customHeight="1" x14ac:dyDescent="0.3">
      <c r="A10" s="5" t="s">
        <v>17</v>
      </c>
      <c r="B10" s="11"/>
      <c r="C10" s="12">
        <v>12000</v>
      </c>
      <c r="D10" s="22">
        <f>120</f>
        <v>120</v>
      </c>
      <c r="E10" s="11"/>
      <c r="F10" s="29">
        <v>8</v>
      </c>
      <c r="G10" s="11"/>
      <c r="H10" s="29">
        <v>106</v>
      </c>
      <c r="I10" s="11">
        <f t="shared" si="4"/>
        <v>6</v>
      </c>
      <c r="J10" s="61">
        <f t="shared" si="0"/>
        <v>72000</v>
      </c>
      <c r="K10" s="64">
        <v>500</v>
      </c>
      <c r="L10" s="76">
        <f t="shared" si="1"/>
        <v>3000</v>
      </c>
      <c r="M10" s="78">
        <v>2500</v>
      </c>
      <c r="N10" s="82">
        <f t="shared" si="2"/>
        <v>14</v>
      </c>
      <c r="O10" s="79">
        <f t="shared" si="3"/>
        <v>35000</v>
      </c>
      <c r="P10" s="41"/>
      <c r="Q10" s="41"/>
      <c r="R10" s="58"/>
      <c r="S10" s="41"/>
      <c r="T10" s="41"/>
      <c r="U10" s="41"/>
      <c r="V10" s="56"/>
      <c r="W10" s="41"/>
      <c r="X10" s="41"/>
      <c r="Y10" s="56"/>
    </row>
    <row r="11" spans="1:25" ht="15.75" customHeight="1" x14ac:dyDescent="0.3">
      <c r="A11" s="5" t="s">
        <v>25</v>
      </c>
      <c r="B11" s="13"/>
      <c r="C11" s="14">
        <v>25000</v>
      </c>
      <c r="D11" s="22">
        <v>144</v>
      </c>
      <c r="E11" s="13"/>
      <c r="F11" s="28">
        <v>7</v>
      </c>
      <c r="G11" s="15"/>
      <c r="H11" s="32">
        <v>54</v>
      </c>
      <c r="I11" s="11">
        <f t="shared" si="4"/>
        <v>83</v>
      </c>
      <c r="J11" s="61">
        <f t="shared" si="0"/>
        <v>2075000</v>
      </c>
      <c r="K11" s="64">
        <v>500</v>
      </c>
      <c r="L11" s="76">
        <f t="shared" si="1"/>
        <v>41500</v>
      </c>
      <c r="M11" s="78">
        <v>7000</v>
      </c>
      <c r="N11" s="82">
        <f t="shared" si="2"/>
        <v>90</v>
      </c>
      <c r="O11" s="79">
        <f t="shared" si="3"/>
        <v>630000</v>
      </c>
      <c r="P11" s="41"/>
      <c r="Q11" s="41"/>
      <c r="R11" s="55"/>
      <c r="S11" s="41"/>
      <c r="T11" s="41"/>
      <c r="U11" s="41"/>
      <c r="V11" s="56"/>
      <c r="W11" s="41"/>
      <c r="X11" s="41"/>
      <c r="Y11" s="56"/>
    </row>
    <row r="12" spans="1:25" ht="15.75" customHeight="1" x14ac:dyDescent="0.3">
      <c r="A12" s="6" t="s">
        <v>26</v>
      </c>
      <c r="B12" s="16"/>
      <c r="C12" s="17"/>
      <c r="D12" s="23"/>
      <c r="E12" s="16"/>
      <c r="F12" s="35"/>
      <c r="G12" s="18"/>
      <c r="H12" s="33"/>
      <c r="I12" s="18"/>
      <c r="J12" s="62"/>
      <c r="K12" s="65"/>
      <c r="L12" s="77"/>
      <c r="M12" s="77"/>
      <c r="N12" s="77"/>
      <c r="O12" s="77"/>
      <c r="P12" s="41"/>
      <c r="Q12" s="41"/>
      <c r="R12" s="58"/>
      <c r="S12" s="41"/>
      <c r="T12" s="41"/>
      <c r="U12" s="41"/>
      <c r="V12" s="56"/>
      <c r="W12" s="41"/>
      <c r="X12" s="41"/>
      <c r="Y12" s="56"/>
    </row>
    <row r="13" spans="1:25" ht="15.75" customHeight="1" x14ac:dyDescent="0.3">
      <c r="A13" s="5" t="s">
        <v>27</v>
      </c>
      <c r="B13" s="11"/>
      <c r="C13" s="12">
        <v>13000</v>
      </c>
      <c r="D13" s="22">
        <f>792</f>
        <v>792</v>
      </c>
      <c r="E13" s="29">
        <v>240</v>
      </c>
      <c r="F13" s="29">
        <v>44</v>
      </c>
      <c r="G13" s="11">
        <v>2</v>
      </c>
      <c r="H13" s="29">
        <f>577-9</f>
        <v>568</v>
      </c>
      <c r="I13" s="11">
        <f t="shared" si="4"/>
        <v>418</v>
      </c>
      <c r="J13" s="61">
        <f t="shared" si="0"/>
        <v>5434000</v>
      </c>
      <c r="K13" s="64">
        <v>500</v>
      </c>
      <c r="L13" s="76">
        <f t="shared" si="1"/>
        <v>209000</v>
      </c>
      <c r="M13" s="78">
        <v>2254</v>
      </c>
      <c r="N13" s="82">
        <f t="shared" si="2"/>
        <v>462</v>
      </c>
      <c r="O13" s="79">
        <f t="shared" si="3"/>
        <v>1041348</v>
      </c>
      <c r="P13" s="41"/>
      <c r="Q13" s="41"/>
      <c r="R13" s="58"/>
      <c r="S13" s="41"/>
      <c r="T13" s="41"/>
      <c r="U13" s="41"/>
      <c r="V13" s="56"/>
      <c r="W13" s="41"/>
      <c r="X13" s="41"/>
      <c r="Y13" s="56"/>
    </row>
    <row r="14" spans="1:25" ht="15.75" customHeight="1" x14ac:dyDescent="0.3">
      <c r="A14" s="5" t="s">
        <v>28</v>
      </c>
      <c r="B14" s="13"/>
      <c r="C14" s="14">
        <v>16000</v>
      </c>
      <c r="D14" s="22">
        <f>288</f>
        <v>288</v>
      </c>
      <c r="E14" s="28">
        <v>360</v>
      </c>
      <c r="F14" s="28">
        <v>17</v>
      </c>
      <c r="G14" s="15"/>
      <c r="H14" s="32">
        <v>348</v>
      </c>
      <c r="I14" s="11">
        <f t="shared" si="4"/>
        <v>283</v>
      </c>
      <c r="J14" s="61">
        <f t="shared" si="0"/>
        <v>4528000</v>
      </c>
      <c r="K14" s="64">
        <v>500</v>
      </c>
      <c r="L14" s="76">
        <f t="shared" si="1"/>
        <v>141500</v>
      </c>
      <c r="M14" s="78">
        <v>3787</v>
      </c>
      <c r="N14" s="82">
        <f t="shared" si="2"/>
        <v>300</v>
      </c>
      <c r="O14" s="79">
        <f t="shared" si="3"/>
        <v>1136100</v>
      </c>
      <c r="P14" s="41"/>
      <c r="Q14" s="41"/>
      <c r="R14" s="58"/>
      <c r="S14" s="41"/>
      <c r="T14" s="41"/>
      <c r="U14" s="41"/>
      <c r="V14" s="56"/>
      <c r="W14" s="41"/>
      <c r="X14" s="41"/>
      <c r="Y14" s="56"/>
    </row>
    <row r="15" spans="1:25" ht="15.75" customHeight="1" x14ac:dyDescent="0.3">
      <c r="A15" s="6" t="s">
        <v>29</v>
      </c>
      <c r="B15" s="16"/>
      <c r="C15" s="17"/>
      <c r="D15" s="23"/>
      <c r="E15" s="16"/>
      <c r="F15" s="35"/>
      <c r="G15" s="18"/>
      <c r="H15" s="33"/>
      <c r="I15" s="18"/>
      <c r="J15" s="62"/>
      <c r="K15" s="65"/>
      <c r="L15" s="77"/>
      <c r="M15" s="77"/>
      <c r="N15" s="77"/>
      <c r="O15" s="77"/>
      <c r="P15" s="41"/>
      <c r="Q15" s="41"/>
      <c r="R15" s="58"/>
      <c r="S15" s="41"/>
      <c r="T15" s="41"/>
      <c r="U15" s="41"/>
      <c r="V15" s="56"/>
      <c r="W15" s="41"/>
      <c r="X15" s="41"/>
      <c r="Y15" s="56"/>
    </row>
    <row r="16" spans="1:25" ht="15.75" customHeight="1" x14ac:dyDescent="0.3">
      <c r="A16" s="5" t="s">
        <v>30</v>
      </c>
      <c r="B16" s="13"/>
      <c r="C16" s="14">
        <v>25000</v>
      </c>
      <c r="D16" s="22">
        <f>96</f>
        <v>96</v>
      </c>
      <c r="E16" s="13"/>
      <c r="F16" s="28">
        <v>2</v>
      </c>
      <c r="G16" s="15"/>
      <c r="H16" s="32">
        <v>71</v>
      </c>
      <c r="I16" s="11">
        <f t="shared" si="4"/>
        <v>23</v>
      </c>
      <c r="J16" s="61">
        <f t="shared" si="0"/>
        <v>575000</v>
      </c>
      <c r="K16" s="64">
        <v>500</v>
      </c>
      <c r="L16" s="76">
        <f t="shared" si="1"/>
        <v>11500</v>
      </c>
      <c r="M16" s="78">
        <v>6173</v>
      </c>
      <c r="N16" s="82">
        <f t="shared" si="2"/>
        <v>25</v>
      </c>
      <c r="O16" s="79">
        <f t="shared" si="3"/>
        <v>154325</v>
      </c>
      <c r="P16" s="41"/>
      <c r="Q16" s="41"/>
      <c r="R16" s="58"/>
      <c r="S16" s="41"/>
      <c r="T16" s="41"/>
      <c r="U16" s="41"/>
      <c r="V16" s="56"/>
      <c r="W16" s="41"/>
      <c r="X16" s="41"/>
      <c r="Y16" s="56"/>
    </row>
    <row r="17" spans="1:25" ht="15.75" customHeight="1" x14ac:dyDescent="0.3">
      <c r="A17" s="6" t="s">
        <v>31</v>
      </c>
      <c r="B17" s="16"/>
      <c r="C17" s="17"/>
      <c r="D17" s="23"/>
      <c r="E17" s="16"/>
      <c r="F17" s="35"/>
      <c r="G17" s="18"/>
      <c r="H17" s="33"/>
      <c r="I17" s="18"/>
      <c r="J17" s="62"/>
      <c r="K17" s="65"/>
      <c r="L17" s="77"/>
      <c r="M17" s="78"/>
      <c r="N17" s="82">
        <f t="shared" si="2"/>
        <v>0</v>
      </c>
      <c r="O17" s="79">
        <f t="shared" si="3"/>
        <v>0</v>
      </c>
      <c r="P17" s="41"/>
      <c r="Q17" s="41"/>
      <c r="R17" s="58"/>
      <c r="S17" s="41"/>
      <c r="T17" s="41"/>
      <c r="U17" s="41"/>
      <c r="V17" s="56"/>
      <c r="W17" s="41"/>
      <c r="X17" s="41"/>
      <c r="Y17" s="56"/>
    </row>
    <row r="18" spans="1:25" ht="15.75" customHeight="1" x14ac:dyDescent="0.3">
      <c r="A18" s="5" t="s">
        <v>32</v>
      </c>
      <c r="B18" s="11"/>
      <c r="C18" s="52">
        <v>400000</v>
      </c>
      <c r="D18" s="22">
        <v>12</v>
      </c>
      <c r="E18" s="11"/>
      <c r="F18" s="29">
        <v>0</v>
      </c>
      <c r="G18" s="11"/>
      <c r="H18" s="29">
        <v>12</v>
      </c>
      <c r="I18" s="11">
        <f t="shared" si="4"/>
        <v>0</v>
      </c>
      <c r="J18" s="61">
        <f t="shared" si="0"/>
        <v>0</v>
      </c>
      <c r="K18" s="66">
        <v>10000</v>
      </c>
      <c r="L18" s="76">
        <f t="shared" si="1"/>
        <v>0</v>
      </c>
      <c r="M18" s="78">
        <v>167000</v>
      </c>
      <c r="N18" s="82">
        <f t="shared" si="2"/>
        <v>0</v>
      </c>
      <c r="O18" s="79">
        <f t="shared" si="3"/>
        <v>0</v>
      </c>
      <c r="P18" s="41"/>
      <c r="Q18" s="41"/>
      <c r="R18" s="58"/>
      <c r="S18" s="41"/>
      <c r="T18" s="41"/>
      <c r="U18" s="41"/>
      <c r="V18" s="56"/>
      <c r="W18" s="41"/>
      <c r="X18" s="41"/>
      <c r="Y18" s="56"/>
    </row>
    <row r="19" spans="1:25" ht="15.75" customHeight="1" x14ac:dyDescent="0.3">
      <c r="A19" s="5" t="s">
        <v>33</v>
      </c>
      <c r="B19" s="11"/>
      <c r="C19" s="12">
        <v>360000</v>
      </c>
      <c r="D19" s="22">
        <v>24</v>
      </c>
      <c r="E19" s="11"/>
      <c r="F19" s="29">
        <v>0</v>
      </c>
      <c r="G19" s="11"/>
      <c r="H19" s="29">
        <v>20</v>
      </c>
      <c r="I19" s="11">
        <f t="shared" si="4"/>
        <v>4</v>
      </c>
      <c r="J19" s="61">
        <f t="shared" si="0"/>
        <v>1440000</v>
      </c>
      <c r="K19" s="66">
        <v>10000</v>
      </c>
      <c r="L19" s="76">
        <f t="shared" si="1"/>
        <v>40000</v>
      </c>
      <c r="M19" s="78">
        <v>135000</v>
      </c>
      <c r="N19" s="82">
        <f t="shared" si="2"/>
        <v>4</v>
      </c>
      <c r="O19" s="79">
        <f t="shared" si="3"/>
        <v>540000</v>
      </c>
      <c r="P19" s="41"/>
      <c r="Q19" s="41"/>
      <c r="R19" s="58"/>
      <c r="S19" s="41"/>
      <c r="T19" s="41"/>
      <c r="U19" s="41"/>
      <c r="V19" s="56"/>
      <c r="W19" s="41"/>
      <c r="X19" s="41"/>
      <c r="Y19" s="56"/>
    </row>
    <row r="20" spans="1:25" ht="15.75" customHeight="1" x14ac:dyDescent="0.3">
      <c r="A20" s="5" t="s">
        <v>34</v>
      </c>
      <c r="B20" s="13"/>
      <c r="C20" s="14">
        <v>260000</v>
      </c>
      <c r="D20" s="22">
        <f>24</f>
        <v>24</v>
      </c>
      <c r="E20" s="13"/>
      <c r="F20" s="28">
        <v>0</v>
      </c>
      <c r="G20" s="15"/>
      <c r="H20" s="32">
        <v>21</v>
      </c>
      <c r="I20" s="11">
        <f t="shared" si="4"/>
        <v>3</v>
      </c>
      <c r="J20" s="61">
        <f t="shared" si="0"/>
        <v>780000</v>
      </c>
      <c r="K20" s="66">
        <v>5000</v>
      </c>
      <c r="L20" s="76">
        <f t="shared" si="1"/>
        <v>15000</v>
      </c>
      <c r="M20" s="78">
        <v>62522</v>
      </c>
      <c r="N20" s="82">
        <f t="shared" si="2"/>
        <v>3</v>
      </c>
      <c r="O20" s="79">
        <f t="shared" si="3"/>
        <v>187566</v>
      </c>
      <c r="P20" s="41"/>
      <c r="Q20" s="41"/>
      <c r="R20" s="58"/>
      <c r="S20" s="41"/>
      <c r="T20" s="41"/>
      <c r="U20" s="41"/>
      <c r="V20" s="56"/>
      <c r="W20" s="41"/>
      <c r="X20" s="41"/>
      <c r="Y20" s="56"/>
    </row>
    <row r="21" spans="1:25" ht="15.75" customHeight="1" x14ac:dyDescent="0.3">
      <c r="A21" s="6" t="s">
        <v>35</v>
      </c>
      <c r="B21" s="16"/>
      <c r="C21" s="17"/>
      <c r="D21" s="23"/>
      <c r="E21" s="16"/>
      <c r="F21" s="35"/>
      <c r="G21" s="18"/>
      <c r="H21" s="33"/>
      <c r="I21" s="18"/>
      <c r="J21" s="62"/>
      <c r="K21" s="65"/>
      <c r="L21" s="77"/>
      <c r="M21" s="77"/>
      <c r="N21" s="77"/>
      <c r="O21" s="77"/>
      <c r="P21" s="41"/>
      <c r="Q21" s="41"/>
      <c r="R21" s="55"/>
      <c r="S21" s="41"/>
      <c r="T21" s="41"/>
      <c r="U21" s="41"/>
      <c r="V21" s="56"/>
      <c r="W21" s="41"/>
      <c r="X21" s="41"/>
      <c r="Y21" s="56"/>
    </row>
    <row r="22" spans="1:25" ht="15.75" customHeight="1" x14ac:dyDescent="0.3">
      <c r="A22" s="5" t="s">
        <v>36</v>
      </c>
      <c r="B22" s="11"/>
      <c r="C22" s="12">
        <v>260000</v>
      </c>
      <c r="D22" s="22">
        <v>6</v>
      </c>
      <c r="E22" s="11"/>
      <c r="F22" s="29">
        <v>0</v>
      </c>
      <c r="G22" s="11"/>
      <c r="H22" s="29">
        <v>6</v>
      </c>
      <c r="I22" s="11">
        <f t="shared" si="4"/>
        <v>0</v>
      </c>
      <c r="J22" s="61">
        <f t="shared" si="0"/>
        <v>0</v>
      </c>
      <c r="K22" s="66">
        <v>5000</v>
      </c>
      <c r="L22" s="76">
        <f t="shared" si="1"/>
        <v>0</v>
      </c>
      <c r="M22" s="78">
        <v>77000</v>
      </c>
      <c r="N22" s="82">
        <f t="shared" si="2"/>
        <v>0</v>
      </c>
      <c r="O22" s="79">
        <f t="shared" si="3"/>
        <v>0</v>
      </c>
      <c r="P22" s="41"/>
      <c r="Q22" s="41"/>
      <c r="R22" s="58"/>
      <c r="S22" s="41"/>
      <c r="T22" s="41"/>
      <c r="U22" s="41"/>
      <c r="V22" s="56"/>
      <c r="W22" s="41"/>
      <c r="X22" s="41"/>
      <c r="Y22" s="56"/>
    </row>
    <row r="23" spans="1:25" ht="15.75" customHeight="1" x14ac:dyDescent="0.3">
      <c r="A23" s="5" t="s">
        <v>37</v>
      </c>
      <c r="B23" s="13"/>
      <c r="C23" s="14">
        <v>160000</v>
      </c>
      <c r="D23" s="22">
        <v>12</v>
      </c>
      <c r="E23" s="13"/>
      <c r="F23" s="28">
        <v>0</v>
      </c>
      <c r="G23" s="15"/>
      <c r="H23" s="32">
        <v>9</v>
      </c>
      <c r="I23" s="11">
        <f t="shared" si="4"/>
        <v>3</v>
      </c>
      <c r="J23" s="61">
        <f t="shared" si="0"/>
        <v>480000</v>
      </c>
      <c r="K23" s="66">
        <v>5000</v>
      </c>
      <c r="L23" s="76">
        <f t="shared" si="1"/>
        <v>15000</v>
      </c>
      <c r="M23" s="78">
        <v>58766</v>
      </c>
      <c r="N23" s="82">
        <f t="shared" si="2"/>
        <v>3</v>
      </c>
      <c r="O23" s="79">
        <f t="shared" si="3"/>
        <v>176298</v>
      </c>
      <c r="P23" s="41"/>
      <c r="Q23" s="41"/>
      <c r="R23" s="58"/>
      <c r="S23" s="41"/>
      <c r="T23" s="41"/>
      <c r="U23" s="41"/>
      <c r="V23" s="56"/>
      <c r="W23" s="41"/>
      <c r="X23" s="41"/>
      <c r="Y23" s="56"/>
    </row>
    <row r="24" spans="1:25" ht="15.75" customHeight="1" x14ac:dyDescent="0.3">
      <c r="A24" s="6" t="s">
        <v>38</v>
      </c>
      <c r="B24" s="16"/>
      <c r="C24" s="17"/>
      <c r="D24" s="23"/>
      <c r="E24" s="16"/>
      <c r="F24" s="35"/>
      <c r="G24" s="18"/>
      <c r="H24" s="33"/>
      <c r="I24" s="18"/>
      <c r="J24" s="62"/>
      <c r="K24" s="65"/>
      <c r="L24" s="77"/>
      <c r="M24" s="77"/>
      <c r="N24" s="77"/>
      <c r="O24" s="77"/>
      <c r="P24" s="48"/>
      <c r="Q24" s="48"/>
      <c r="R24" s="56"/>
      <c r="S24" s="59"/>
      <c r="T24" s="48"/>
      <c r="U24" s="48"/>
      <c r="V24" s="56"/>
      <c r="W24" s="59"/>
      <c r="X24" s="48"/>
      <c r="Y24" s="56"/>
    </row>
    <row r="25" spans="1:25" ht="15.75" customHeight="1" x14ac:dyDescent="0.3">
      <c r="A25" s="5" t="s">
        <v>11</v>
      </c>
      <c r="B25" s="11"/>
      <c r="C25" s="12">
        <v>800000</v>
      </c>
      <c r="D25" s="22">
        <v>6</v>
      </c>
      <c r="E25" s="11"/>
      <c r="F25" s="29">
        <v>0</v>
      </c>
      <c r="G25" s="11"/>
      <c r="H25" s="29">
        <v>5</v>
      </c>
      <c r="I25" s="11">
        <f t="shared" si="4"/>
        <v>1</v>
      </c>
      <c r="J25" s="61">
        <f t="shared" si="0"/>
        <v>800000</v>
      </c>
      <c r="K25" s="66">
        <v>10000</v>
      </c>
      <c r="L25" s="76">
        <f t="shared" si="1"/>
        <v>10000</v>
      </c>
      <c r="M25" s="78">
        <v>338899</v>
      </c>
      <c r="N25" s="82">
        <f t="shared" si="2"/>
        <v>1</v>
      </c>
      <c r="O25" s="79">
        <f t="shared" si="3"/>
        <v>338899</v>
      </c>
      <c r="P25" s="41"/>
      <c r="Q25" s="41"/>
      <c r="R25" s="56"/>
      <c r="S25" s="41"/>
      <c r="T25" s="41"/>
      <c r="U25" s="41"/>
      <c r="V25" s="56"/>
      <c r="W25" s="41"/>
      <c r="X25" s="41"/>
      <c r="Y25" s="56"/>
    </row>
    <row r="26" spans="1:25" ht="15.75" customHeight="1" x14ac:dyDescent="0.3">
      <c r="A26" s="5" t="s">
        <v>12</v>
      </c>
      <c r="B26" s="11"/>
      <c r="C26" s="12">
        <v>460000</v>
      </c>
      <c r="D26" s="22">
        <v>6</v>
      </c>
      <c r="E26" s="11"/>
      <c r="F26" s="29">
        <v>0</v>
      </c>
      <c r="G26" s="11"/>
      <c r="H26" s="29">
        <v>6</v>
      </c>
      <c r="I26" s="11">
        <f t="shared" si="4"/>
        <v>0</v>
      </c>
      <c r="J26" s="61">
        <f t="shared" si="0"/>
        <v>0</v>
      </c>
      <c r="K26" s="66">
        <v>10000</v>
      </c>
      <c r="L26" s="76">
        <f t="shared" si="1"/>
        <v>0</v>
      </c>
      <c r="M26" s="78">
        <v>199153</v>
      </c>
      <c r="N26" s="82">
        <f t="shared" si="2"/>
        <v>0</v>
      </c>
      <c r="O26" s="79">
        <f t="shared" si="3"/>
        <v>0</v>
      </c>
      <c r="P26" s="41"/>
      <c r="Q26" s="41"/>
      <c r="R26" s="56"/>
      <c r="S26" s="41"/>
      <c r="T26" s="41"/>
      <c r="U26" s="41"/>
      <c r="V26" s="56"/>
      <c r="W26" s="41"/>
      <c r="X26" s="41"/>
      <c r="Y26" s="56"/>
    </row>
    <row r="27" spans="1:25" ht="15.75" customHeight="1" x14ac:dyDescent="0.3">
      <c r="A27" s="5" t="s">
        <v>39</v>
      </c>
      <c r="B27" s="13"/>
      <c r="C27" s="14">
        <v>260000</v>
      </c>
      <c r="D27" s="22">
        <v>15</v>
      </c>
      <c r="E27" s="19"/>
      <c r="F27" s="36">
        <v>0</v>
      </c>
      <c r="G27" s="20"/>
      <c r="H27" s="34">
        <v>13</v>
      </c>
      <c r="I27" s="11">
        <f t="shared" si="4"/>
        <v>2</v>
      </c>
      <c r="J27" s="61">
        <f t="shared" si="0"/>
        <v>520000</v>
      </c>
      <c r="K27" s="66">
        <v>5000</v>
      </c>
      <c r="L27" s="76">
        <f t="shared" si="1"/>
        <v>10000</v>
      </c>
      <c r="M27" s="78">
        <v>94397</v>
      </c>
      <c r="N27" s="82">
        <f t="shared" si="2"/>
        <v>2</v>
      </c>
      <c r="O27" s="79">
        <f t="shared" si="3"/>
        <v>188794</v>
      </c>
      <c r="P27" s="48"/>
      <c r="Q27" s="48"/>
      <c r="R27" s="56"/>
      <c r="S27" s="59"/>
      <c r="T27" s="48"/>
      <c r="U27" s="48"/>
      <c r="V27" s="56"/>
      <c r="W27" s="59"/>
      <c r="X27" s="48"/>
      <c r="Y27" s="56"/>
    </row>
    <row r="28" spans="1:25" ht="15.75" customHeight="1" x14ac:dyDescent="0.3">
      <c r="A28" s="6" t="s">
        <v>40</v>
      </c>
      <c r="B28" s="16"/>
      <c r="C28" s="17"/>
      <c r="D28" s="23"/>
      <c r="E28" s="16"/>
      <c r="F28" s="35"/>
      <c r="G28" s="18"/>
      <c r="H28" s="33"/>
      <c r="I28" s="18"/>
      <c r="J28" s="62"/>
      <c r="K28" s="65"/>
      <c r="L28" s="77"/>
      <c r="M28" s="77"/>
      <c r="N28" s="77"/>
      <c r="O28" s="77"/>
      <c r="P28" s="41"/>
      <c r="Q28" s="41"/>
      <c r="R28" s="56"/>
      <c r="S28" s="41"/>
      <c r="T28" s="41"/>
      <c r="U28" s="41"/>
      <c r="V28" s="56"/>
      <c r="W28" s="41"/>
      <c r="X28" s="41"/>
      <c r="Y28" s="56"/>
    </row>
    <row r="29" spans="1:25" ht="15.75" customHeight="1" x14ac:dyDescent="0.3">
      <c r="A29" s="5" t="s">
        <v>14</v>
      </c>
      <c r="B29" s="11"/>
      <c r="C29" s="12">
        <v>260000</v>
      </c>
      <c r="D29" s="22">
        <v>12</v>
      </c>
      <c r="E29" s="11"/>
      <c r="F29" s="29">
        <v>0</v>
      </c>
      <c r="G29" s="11"/>
      <c r="H29" s="29">
        <v>11</v>
      </c>
      <c r="I29" s="11">
        <f t="shared" si="4"/>
        <v>1</v>
      </c>
      <c r="J29" s="61">
        <f t="shared" si="0"/>
        <v>260000</v>
      </c>
      <c r="K29" s="66">
        <v>5000</v>
      </c>
      <c r="L29" s="76">
        <f t="shared" si="1"/>
        <v>5000</v>
      </c>
      <c r="M29" s="109">
        <v>90000</v>
      </c>
      <c r="N29" s="82">
        <f t="shared" si="2"/>
        <v>1</v>
      </c>
      <c r="O29" s="79">
        <f t="shared" si="3"/>
        <v>90000</v>
      </c>
      <c r="P29" s="41"/>
      <c r="Q29" s="41"/>
      <c r="R29" s="56"/>
      <c r="S29" s="41"/>
      <c r="T29" s="41"/>
      <c r="U29" s="41"/>
      <c r="V29" s="56"/>
      <c r="W29" s="41"/>
      <c r="X29" s="41"/>
      <c r="Y29" s="56"/>
    </row>
    <row r="30" spans="1:25" ht="15.6" x14ac:dyDescent="0.3">
      <c r="A30" s="5" t="s">
        <v>41</v>
      </c>
      <c r="B30" s="11"/>
      <c r="C30" s="12">
        <v>160000</v>
      </c>
      <c r="D30" s="22">
        <v>15</v>
      </c>
      <c r="E30" s="11"/>
      <c r="F30" s="29">
        <v>0</v>
      </c>
      <c r="G30" s="11"/>
      <c r="H30" s="29">
        <v>14</v>
      </c>
      <c r="I30" s="11">
        <f t="shared" si="4"/>
        <v>1</v>
      </c>
      <c r="J30" s="61">
        <f t="shared" si="0"/>
        <v>160000</v>
      </c>
      <c r="K30" s="66">
        <v>5000</v>
      </c>
      <c r="L30" s="76">
        <f t="shared" si="1"/>
        <v>5000</v>
      </c>
      <c r="M30" s="78">
        <v>37667</v>
      </c>
      <c r="N30" s="82">
        <f t="shared" si="2"/>
        <v>1</v>
      </c>
      <c r="O30" s="79">
        <f t="shared" si="3"/>
        <v>37667</v>
      </c>
      <c r="P30" s="48"/>
      <c r="Q30" s="48"/>
      <c r="R30" s="56"/>
      <c r="S30" s="59"/>
      <c r="T30" s="48"/>
      <c r="U30" s="48"/>
      <c r="V30" s="56"/>
      <c r="W30" s="59"/>
      <c r="X30" s="48"/>
      <c r="Y30" s="56"/>
    </row>
    <row r="31" spans="1:25" ht="15.6" x14ac:dyDescent="0.3">
      <c r="A31" s="5" t="s">
        <v>42</v>
      </c>
      <c r="B31" s="13"/>
      <c r="C31" s="14">
        <v>160000</v>
      </c>
      <c r="D31" s="22">
        <f>60</f>
        <v>60</v>
      </c>
      <c r="E31" s="13"/>
      <c r="F31" s="28">
        <v>4</v>
      </c>
      <c r="G31" s="15"/>
      <c r="H31" s="32">
        <v>45</v>
      </c>
      <c r="I31" s="11">
        <f t="shared" si="4"/>
        <v>11</v>
      </c>
      <c r="J31" s="61">
        <f t="shared" si="0"/>
        <v>1760000</v>
      </c>
      <c r="K31" s="66">
        <v>5000</v>
      </c>
      <c r="L31" s="76">
        <f t="shared" si="1"/>
        <v>55000</v>
      </c>
      <c r="M31" s="78">
        <v>41667</v>
      </c>
      <c r="N31" s="82">
        <f t="shared" si="2"/>
        <v>15</v>
      </c>
      <c r="O31" s="79">
        <f t="shared" si="3"/>
        <v>625005</v>
      </c>
      <c r="P31" s="41"/>
      <c r="Q31" s="41"/>
      <c r="R31" s="56"/>
      <c r="S31" s="41"/>
      <c r="T31" s="41"/>
      <c r="U31" s="41"/>
      <c r="V31" s="56"/>
      <c r="W31" s="41"/>
      <c r="X31" s="41"/>
      <c r="Y31" s="56"/>
    </row>
    <row r="32" spans="1:25" ht="15.6" x14ac:dyDescent="0.3">
      <c r="A32" s="6" t="s">
        <v>43</v>
      </c>
      <c r="B32" s="16"/>
      <c r="C32" s="17"/>
      <c r="D32" s="23"/>
      <c r="E32" s="16"/>
      <c r="F32" s="35"/>
      <c r="G32" s="18"/>
      <c r="H32" s="33"/>
      <c r="I32" s="18"/>
      <c r="J32" s="62"/>
      <c r="K32" s="65"/>
      <c r="L32" s="77"/>
      <c r="M32" s="77"/>
      <c r="N32" s="77"/>
      <c r="O32" s="77"/>
      <c r="P32" s="41"/>
      <c r="Q32" s="41"/>
      <c r="R32" s="56"/>
      <c r="S32" s="41"/>
      <c r="T32" s="41"/>
      <c r="U32" s="41"/>
      <c r="V32" s="56"/>
      <c r="W32" s="41"/>
      <c r="X32" s="41"/>
      <c r="Y32" s="56"/>
    </row>
    <row r="33" spans="1:25" ht="15.6" x14ac:dyDescent="0.3">
      <c r="A33" s="5" t="s">
        <v>13</v>
      </c>
      <c r="B33" s="11"/>
      <c r="C33" s="12">
        <v>360000</v>
      </c>
      <c r="D33" s="22">
        <f>5</f>
        <v>5</v>
      </c>
      <c r="E33" s="11"/>
      <c r="F33" s="29">
        <v>0</v>
      </c>
      <c r="G33" s="11"/>
      <c r="H33" s="29">
        <v>4</v>
      </c>
      <c r="I33" s="11">
        <f t="shared" si="4"/>
        <v>1</v>
      </c>
      <c r="J33" s="61">
        <f t="shared" si="0"/>
        <v>360000</v>
      </c>
      <c r="K33" s="66">
        <v>10000</v>
      </c>
      <c r="L33" s="76">
        <f t="shared" si="1"/>
        <v>10000</v>
      </c>
      <c r="M33" s="78">
        <v>133305</v>
      </c>
      <c r="N33" s="82">
        <f t="shared" si="2"/>
        <v>1</v>
      </c>
      <c r="O33" s="79">
        <f t="shared" si="3"/>
        <v>133305</v>
      </c>
      <c r="P33" s="41"/>
      <c r="Q33" s="41"/>
      <c r="R33" s="56"/>
      <c r="S33" s="41"/>
      <c r="T33" s="41"/>
      <c r="U33" s="41"/>
      <c r="V33" s="56"/>
      <c r="W33" s="41"/>
      <c r="X33" s="41"/>
      <c r="Y33" s="56"/>
    </row>
    <row r="34" spans="1:25" ht="15.6" x14ac:dyDescent="0.3">
      <c r="A34" s="5" t="s">
        <v>44</v>
      </c>
      <c r="B34" s="13"/>
      <c r="C34" s="14">
        <v>260000</v>
      </c>
      <c r="D34" s="22">
        <f>24</f>
        <v>24</v>
      </c>
      <c r="E34" s="13"/>
      <c r="F34" s="28">
        <v>4</v>
      </c>
      <c r="G34" s="15"/>
      <c r="H34" s="32">
        <v>15</v>
      </c>
      <c r="I34" s="11">
        <f t="shared" si="4"/>
        <v>5</v>
      </c>
      <c r="J34" s="61">
        <f t="shared" si="0"/>
        <v>1300000</v>
      </c>
      <c r="K34" s="66">
        <v>5000</v>
      </c>
      <c r="L34" s="76">
        <f t="shared" si="1"/>
        <v>25000</v>
      </c>
      <c r="M34" s="78">
        <v>61489</v>
      </c>
      <c r="N34" s="82">
        <f t="shared" si="2"/>
        <v>9</v>
      </c>
      <c r="O34" s="79">
        <f t="shared" si="3"/>
        <v>553401</v>
      </c>
      <c r="P34" s="48"/>
      <c r="Q34" s="48"/>
      <c r="R34" s="56"/>
      <c r="S34" s="59"/>
      <c r="T34" s="48"/>
      <c r="U34" s="48"/>
      <c r="V34" s="56"/>
      <c r="W34" s="59"/>
      <c r="X34" s="48"/>
      <c r="Y34" s="56"/>
    </row>
    <row r="35" spans="1:25" ht="15.6" x14ac:dyDescent="0.3">
      <c r="A35" s="7" t="s">
        <v>45</v>
      </c>
      <c r="B35" s="16"/>
      <c r="C35" s="17"/>
      <c r="D35" s="24"/>
      <c r="E35" s="16"/>
      <c r="F35" s="35"/>
      <c r="G35" s="18"/>
      <c r="H35" s="33"/>
      <c r="I35" s="18"/>
      <c r="J35" s="62"/>
      <c r="K35" s="45"/>
      <c r="L35" s="77"/>
      <c r="M35" s="77"/>
      <c r="N35" s="77"/>
      <c r="O35" s="77"/>
      <c r="P35" s="41"/>
      <c r="Q35" s="41"/>
      <c r="R35" s="56"/>
      <c r="S35" s="41"/>
      <c r="T35" s="41"/>
      <c r="U35" s="41"/>
      <c r="V35" s="56"/>
      <c r="W35" s="41"/>
      <c r="X35" s="41"/>
      <c r="Y35" s="56"/>
    </row>
    <row r="36" spans="1:25" ht="15.6" x14ac:dyDescent="0.3">
      <c r="A36" s="5" t="s">
        <v>46</v>
      </c>
      <c r="B36" s="11"/>
      <c r="C36" s="12">
        <v>180000</v>
      </c>
      <c r="D36" s="22">
        <v>24</v>
      </c>
      <c r="E36" s="11"/>
      <c r="F36" s="29">
        <v>0</v>
      </c>
      <c r="G36" s="11"/>
      <c r="H36" s="29">
        <v>21</v>
      </c>
      <c r="I36" s="11">
        <f t="shared" si="4"/>
        <v>3</v>
      </c>
      <c r="J36" s="61">
        <f t="shared" si="0"/>
        <v>540000</v>
      </c>
      <c r="K36" s="66">
        <v>5000</v>
      </c>
      <c r="L36" s="76">
        <f t="shared" si="1"/>
        <v>15000</v>
      </c>
      <c r="M36" s="78">
        <v>47500</v>
      </c>
      <c r="N36" s="82">
        <f t="shared" si="2"/>
        <v>3</v>
      </c>
      <c r="O36" s="79">
        <f t="shared" si="3"/>
        <v>142500</v>
      </c>
      <c r="P36" s="41"/>
      <c r="Q36" s="41"/>
      <c r="R36" s="56"/>
      <c r="S36" s="41"/>
      <c r="T36" s="41"/>
      <c r="U36" s="41"/>
      <c r="V36" s="56"/>
      <c r="W36" s="41"/>
      <c r="X36" s="41"/>
      <c r="Y36" s="56"/>
    </row>
    <row r="37" spans="1:25" ht="15.6" x14ac:dyDescent="0.3">
      <c r="A37" s="8" t="s">
        <v>58</v>
      </c>
      <c r="B37" s="11"/>
      <c r="C37" s="12">
        <v>260000</v>
      </c>
      <c r="D37" s="29">
        <f>42</f>
        <v>42</v>
      </c>
      <c r="E37" s="11"/>
      <c r="F37" s="29">
        <v>0</v>
      </c>
      <c r="G37" s="11">
        <v>1</v>
      </c>
      <c r="H37" s="29">
        <v>19</v>
      </c>
      <c r="I37" s="11">
        <f t="shared" si="4"/>
        <v>22</v>
      </c>
      <c r="J37" s="61">
        <f t="shared" si="0"/>
        <v>5720000</v>
      </c>
      <c r="K37" s="66">
        <v>5000</v>
      </c>
      <c r="L37" s="76">
        <f t="shared" si="1"/>
        <v>110000</v>
      </c>
      <c r="M37" s="78">
        <v>97000</v>
      </c>
      <c r="N37" s="82">
        <f t="shared" si="2"/>
        <v>22</v>
      </c>
      <c r="O37" s="79">
        <f t="shared" si="3"/>
        <v>2134000</v>
      </c>
      <c r="P37" s="41"/>
      <c r="Q37" s="41"/>
      <c r="R37" s="56"/>
      <c r="S37" s="41"/>
      <c r="T37" s="41"/>
      <c r="U37" s="41"/>
      <c r="V37" s="56"/>
      <c r="W37" s="41"/>
      <c r="X37" s="41"/>
      <c r="Y37" s="56"/>
    </row>
    <row r="38" spans="1:25" ht="15.6" x14ac:dyDescent="0.3">
      <c r="A38" s="5" t="s">
        <v>47</v>
      </c>
      <c r="B38" s="13"/>
      <c r="C38" s="14">
        <v>160000</v>
      </c>
      <c r="D38" s="22">
        <v>36</v>
      </c>
      <c r="E38" s="13"/>
      <c r="F38" s="28">
        <v>0</v>
      </c>
      <c r="G38" s="15"/>
      <c r="H38" s="32">
        <v>24</v>
      </c>
      <c r="I38" s="11">
        <f t="shared" si="4"/>
        <v>12</v>
      </c>
      <c r="J38" s="61">
        <f t="shared" si="0"/>
        <v>1920000</v>
      </c>
      <c r="K38" s="66">
        <v>5000</v>
      </c>
      <c r="L38" s="76">
        <f t="shared" si="1"/>
        <v>60000</v>
      </c>
      <c r="M38" s="78">
        <v>43500</v>
      </c>
      <c r="N38" s="82">
        <f t="shared" si="2"/>
        <v>12</v>
      </c>
      <c r="O38" s="79">
        <f t="shared" si="3"/>
        <v>522000</v>
      </c>
      <c r="P38" s="41"/>
      <c r="Q38" s="41"/>
      <c r="R38" s="56"/>
      <c r="S38" s="41"/>
      <c r="T38" s="41"/>
      <c r="U38" s="41"/>
      <c r="V38" s="56"/>
      <c r="W38" s="41"/>
      <c r="X38" s="41"/>
      <c r="Y38" s="56"/>
    </row>
    <row r="39" spans="1:25" ht="16.2" thickBot="1" x14ac:dyDescent="0.35">
      <c r="A39" s="7" t="s">
        <v>48</v>
      </c>
      <c r="B39" s="16"/>
      <c r="C39" s="17"/>
      <c r="D39" s="24"/>
      <c r="E39" s="16"/>
      <c r="F39" s="35"/>
      <c r="G39" s="18"/>
      <c r="H39" s="33"/>
      <c r="I39" s="33"/>
      <c r="J39" s="62"/>
      <c r="K39" s="45"/>
      <c r="L39" s="77"/>
      <c r="M39" s="77"/>
      <c r="N39" s="77"/>
      <c r="O39" s="77"/>
      <c r="P39" s="41"/>
      <c r="Q39" s="41"/>
      <c r="R39" s="56"/>
      <c r="S39" s="41"/>
      <c r="T39" s="41"/>
      <c r="U39" s="41"/>
      <c r="V39" s="56"/>
      <c r="W39" s="41"/>
      <c r="X39" s="41"/>
      <c r="Y39" s="56"/>
    </row>
    <row r="40" spans="1:25" ht="16.2" thickBot="1" x14ac:dyDescent="0.35">
      <c r="A40" s="43" t="s">
        <v>21</v>
      </c>
      <c r="B40" s="11"/>
      <c r="C40" s="12">
        <v>5000</v>
      </c>
      <c r="D40" s="22">
        <v>105</v>
      </c>
      <c r="E40" s="11"/>
      <c r="F40" s="29">
        <v>0</v>
      </c>
      <c r="G40" s="11"/>
      <c r="H40" s="29">
        <v>22</v>
      </c>
      <c r="I40" s="11">
        <f t="shared" si="4"/>
        <v>83</v>
      </c>
      <c r="J40" s="61">
        <f t="shared" si="0"/>
        <v>415000</v>
      </c>
      <c r="K40" s="64">
        <v>0</v>
      </c>
      <c r="L40" s="76">
        <f t="shared" si="1"/>
        <v>0</v>
      </c>
      <c r="M40" s="78">
        <v>1250</v>
      </c>
      <c r="N40" s="82">
        <f t="shared" si="2"/>
        <v>83</v>
      </c>
      <c r="O40" s="79">
        <f t="shared" si="3"/>
        <v>103750</v>
      </c>
      <c r="P40" s="41"/>
      <c r="Q40" s="41"/>
      <c r="R40" s="56"/>
      <c r="S40" s="41"/>
      <c r="T40" s="41"/>
      <c r="U40" s="41"/>
      <c r="V40" s="56"/>
      <c r="W40" s="41"/>
      <c r="X40" s="41"/>
      <c r="Y40" s="56"/>
    </row>
    <row r="41" spans="1:25" ht="16.2" thickBot="1" x14ac:dyDescent="0.35">
      <c r="A41" s="42" t="s">
        <v>50</v>
      </c>
      <c r="B41" s="11"/>
      <c r="C41" s="12">
        <v>2000</v>
      </c>
      <c r="D41" s="22">
        <f>480</f>
        <v>480</v>
      </c>
      <c r="E41" s="11"/>
      <c r="F41" s="29">
        <v>0</v>
      </c>
      <c r="G41" s="11"/>
      <c r="H41" s="29">
        <v>240</v>
      </c>
      <c r="I41" s="11">
        <f t="shared" si="4"/>
        <v>240</v>
      </c>
      <c r="J41" s="61">
        <f t="shared" si="0"/>
        <v>480000</v>
      </c>
      <c r="K41" s="64">
        <v>0</v>
      </c>
      <c r="L41" s="76">
        <f t="shared" si="1"/>
        <v>0</v>
      </c>
      <c r="M41" s="78">
        <v>375</v>
      </c>
      <c r="N41" s="82">
        <f t="shared" si="2"/>
        <v>240</v>
      </c>
      <c r="O41" s="79">
        <f t="shared" si="3"/>
        <v>90000</v>
      </c>
      <c r="P41" s="41"/>
      <c r="Q41" s="41"/>
      <c r="R41" s="56"/>
      <c r="S41" s="41"/>
      <c r="T41" s="41"/>
      <c r="U41" s="41"/>
      <c r="V41" s="56"/>
      <c r="W41" s="41"/>
      <c r="X41" s="41"/>
      <c r="Y41" s="56"/>
    </row>
    <row r="42" spans="1:25" ht="16.2" thickBot="1" x14ac:dyDescent="0.35">
      <c r="A42" s="42" t="s">
        <v>51</v>
      </c>
      <c r="B42" s="15"/>
      <c r="C42" s="14">
        <v>15000</v>
      </c>
      <c r="D42" s="22">
        <f>120</f>
        <v>120</v>
      </c>
      <c r="E42" s="15"/>
      <c r="F42" s="32">
        <v>2</v>
      </c>
      <c r="G42" s="15"/>
      <c r="H42" s="32">
        <v>32</v>
      </c>
      <c r="I42" s="11">
        <f t="shared" si="4"/>
        <v>86</v>
      </c>
      <c r="J42" s="61">
        <f t="shared" si="0"/>
        <v>1290000</v>
      </c>
      <c r="K42" s="64">
        <v>500</v>
      </c>
      <c r="L42" s="76">
        <f t="shared" si="1"/>
        <v>43000</v>
      </c>
      <c r="M42" s="109">
        <v>8000</v>
      </c>
      <c r="N42" s="82">
        <f t="shared" si="2"/>
        <v>88</v>
      </c>
      <c r="O42" s="79">
        <f t="shared" si="3"/>
        <v>704000</v>
      </c>
      <c r="P42" s="41"/>
      <c r="Q42" s="41"/>
      <c r="R42" s="56"/>
      <c r="S42" s="41"/>
      <c r="T42" s="41"/>
      <c r="U42" s="41"/>
      <c r="V42" s="56"/>
      <c r="W42" s="41"/>
      <c r="X42" s="41"/>
      <c r="Y42" s="56"/>
    </row>
    <row r="43" spans="1:25" ht="16.2" thickBot="1" x14ac:dyDescent="0.35">
      <c r="A43" s="44"/>
      <c r="B43" s="11"/>
      <c r="C43" s="12"/>
      <c r="D43" s="29"/>
      <c r="E43" s="11"/>
      <c r="F43" s="29"/>
      <c r="G43" s="11"/>
      <c r="H43" s="29"/>
      <c r="I43" s="11"/>
      <c r="J43" s="61">
        <f t="shared" si="0"/>
        <v>0</v>
      </c>
      <c r="K43" s="37"/>
      <c r="L43" s="75"/>
      <c r="M43" s="78"/>
      <c r="N43" s="82">
        <f t="shared" si="2"/>
        <v>0</v>
      </c>
      <c r="O43" s="79">
        <f t="shared" si="3"/>
        <v>0</v>
      </c>
      <c r="P43" s="41"/>
      <c r="Q43" s="41"/>
      <c r="R43" s="56"/>
      <c r="S43" s="41"/>
      <c r="T43" s="41"/>
      <c r="U43" s="41"/>
      <c r="V43" s="56"/>
      <c r="W43" s="41"/>
      <c r="X43" s="41"/>
      <c r="Y43" s="56"/>
    </row>
    <row r="44" spans="1:25" ht="14.4" x14ac:dyDescent="0.3">
      <c r="A44" s="4"/>
      <c r="B44" s="4"/>
      <c r="C44" s="4"/>
      <c r="D44" s="4"/>
      <c r="E44" s="4"/>
      <c r="F44" s="4"/>
      <c r="G44" s="4"/>
      <c r="H44" s="4"/>
      <c r="I44" s="9" t="s">
        <v>22</v>
      </c>
      <c r="J44" s="63">
        <f>SUM(J3:J43)</f>
        <v>62715000</v>
      </c>
      <c r="K44" s="37"/>
      <c r="L44" s="67">
        <f>SUM(L3:L43)</f>
        <v>2002000</v>
      </c>
      <c r="M44" s="73"/>
      <c r="N44" s="73"/>
      <c r="O44" s="80">
        <f>SUM(O3:O43)</f>
        <v>14496946</v>
      </c>
      <c r="P44" s="41"/>
      <c r="Q44" s="41"/>
      <c r="R44" s="56"/>
      <c r="S44" s="41"/>
      <c r="T44" s="41"/>
      <c r="U44" s="41"/>
      <c r="V44" s="56"/>
      <c r="W44" s="41"/>
      <c r="X44" s="41"/>
      <c r="Y44" s="56"/>
    </row>
    <row r="45" spans="1:25" ht="15.75" customHeight="1" x14ac:dyDescent="0.3">
      <c r="O45" s="59"/>
      <c r="P45" s="48"/>
      <c r="Q45" s="48"/>
      <c r="R45" s="56"/>
      <c r="S45" s="59"/>
      <c r="T45" s="48"/>
      <c r="U45" s="48"/>
      <c r="V45" s="56"/>
      <c r="W45" s="59"/>
      <c r="X45" s="48"/>
      <c r="Y45" s="56"/>
    </row>
    <row r="46" spans="1:25" ht="15.75" customHeight="1" x14ac:dyDescent="0.25">
      <c r="A46" s="105" t="s">
        <v>176</v>
      </c>
      <c r="B46" s="106"/>
      <c r="I46" s="84" t="s">
        <v>172</v>
      </c>
      <c r="J46" s="78">
        <v>570000</v>
      </c>
      <c r="O46" s="41"/>
      <c r="P46" s="41"/>
      <c r="Q46" s="41"/>
      <c r="R46" s="56"/>
      <c r="S46" s="41"/>
      <c r="T46" s="41"/>
      <c r="U46" s="41"/>
      <c r="V46" s="56"/>
      <c r="W46" s="41"/>
      <c r="X46" s="41"/>
      <c r="Y46" s="56"/>
    </row>
    <row r="47" spans="1:25" ht="15.75" customHeight="1" x14ac:dyDescent="0.25">
      <c r="A47" s="84" t="s">
        <v>177</v>
      </c>
      <c r="B47" s="78">
        <v>1350000</v>
      </c>
      <c r="I47" s="84" t="s">
        <v>173</v>
      </c>
      <c r="J47" s="78">
        <v>37766000</v>
      </c>
      <c r="O47" s="41"/>
      <c r="P47" s="41"/>
      <c r="Q47" s="41"/>
      <c r="R47" s="56"/>
      <c r="S47" s="41"/>
      <c r="T47" s="41"/>
      <c r="U47" s="41"/>
      <c r="V47" s="56"/>
      <c r="W47" s="41"/>
      <c r="X47" s="41"/>
      <c r="Y47" s="56"/>
    </row>
    <row r="48" spans="1:25" ht="15.75" customHeight="1" x14ac:dyDescent="0.25">
      <c r="A48" s="84" t="s">
        <v>178</v>
      </c>
      <c r="B48" s="78">
        <v>1715900</v>
      </c>
      <c r="I48" s="85" t="s">
        <v>174</v>
      </c>
      <c r="J48" s="78">
        <v>25201600</v>
      </c>
      <c r="P48" s="26"/>
      <c r="Q48" s="26"/>
    </row>
    <row r="49" spans="1:19" ht="15.75" customHeight="1" x14ac:dyDescent="0.25">
      <c r="A49" s="84" t="s">
        <v>179</v>
      </c>
      <c r="B49" s="78">
        <v>822600</v>
      </c>
      <c r="I49" s="85" t="s">
        <v>22</v>
      </c>
      <c r="J49" s="78">
        <f>J44-J46-J47-J48</f>
        <v>-822600</v>
      </c>
      <c r="P49" s="26"/>
      <c r="Q49" s="26"/>
    </row>
    <row r="50" spans="1:19" ht="15.75" customHeight="1" x14ac:dyDescent="0.25">
      <c r="A50" s="107" t="s">
        <v>22</v>
      </c>
      <c r="B50" s="108">
        <f>SUM(B47:B49)</f>
        <v>3888500</v>
      </c>
      <c r="I50" s="86" t="s">
        <v>175</v>
      </c>
      <c r="J50" s="87">
        <f>J44-O44</f>
        <v>48218054</v>
      </c>
      <c r="P50" s="26"/>
      <c r="Q50" s="26"/>
    </row>
    <row r="51" spans="1:19" ht="15.75" customHeight="1" x14ac:dyDescent="0.25">
      <c r="P51" s="26"/>
      <c r="Q51" s="26"/>
    </row>
    <row r="52" spans="1:19" ht="15.75" customHeight="1" x14ac:dyDescent="0.25">
      <c r="P52" s="26"/>
      <c r="Q52" s="26"/>
    </row>
    <row r="53" spans="1:19" ht="15.75" customHeight="1" x14ac:dyDescent="0.25">
      <c r="P53" s="26"/>
      <c r="Q53" s="26"/>
    </row>
    <row r="54" spans="1:19" ht="15.75" customHeight="1" x14ac:dyDescent="0.25"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</row>
    <row r="55" spans="1:19" ht="15.75" customHeight="1" x14ac:dyDescent="0.25"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</row>
    <row r="56" spans="1:19" ht="15.75" customHeight="1" x14ac:dyDescent="0.3">
      <c r="H56" s="39"/>
      <c r="I56" s="92"/>
      <c r="J56" s="92"/>
      <c r="K56" s="39"/>
      <c r="L56" s="39"/>
      <c r="M56" s="39"/>
      <c r="N56" s="39"/>
      <c r="O56" s="39"/>
      <c r="P56" s="39"/>
      <c r="Q56" s="39"/>
      <c r="R56" s="39"/>
      <c r="S56" s="39"/>
    </row>
    <row r="57" spans="1:19" ht="15.75" customHeight="1" x14ac:dyDescent="0.3">
      <c r="H57" s="93"/>
      <c r="I57" s="94"/>
      <c r="J57" s="95"/>
      <c r="K57" s="39"/>
      <c r="L57" s="39"/>
      <c r="M57" s="39"/>
      <c r="N57" s="39"/>
      <c r="O57" s="39"/>
      <c r="P57" s="39"/>
      <c r="Q57" s="92"/>
      <c r="R57" s="39"/>
      <c r="S57" s="39"/>
    </row>
    <row r="58" spans="1:19" ht="15.75" customHeight="1" x14ac:dyDescent="0.3">
      <c r="H58" s="96"/>
      <c r="I58" s="97"/>
      <c r="J58" s="98"/>
      <c r="K58" s="98"/>
      <c r="L58" s="98"/>
      <c r="M58" s="98"/>
      <c r="N58" s="98"/>
      <c r="O58" s="39"/>
      <c r="P58" s="93"/>
      <c r="Q58" s="94"/>
      <c r="R58" s="95"/>
      <c r="S58" s="39"/>
    </row>
    <row r="59" spans="1:19" ht="15.75" customHeight="1" x14ac:dyDescent="0.3">
      <c r="H59" s="96"/>
      <c r="I59" s="99"/>
      <c r="J59" s="98"/>
      <c r="K59" s="98"/>
      <c r="L59" s="98"/>
      <c r="M59" s="98"/>
      <c r="N59" s="98"/>
      <c r="O59" s="39"/>
      <c r="P59" s="96"/>
      <c r="Q59" s="97"/>
      <c r="R59" s="98"/>
      <c r="S59" s="39"/>
    </row>
    <row r="60" spans="1:19" ht="15.75" customHeight="1" x14ac:dyDescent="0.3">
      <c r="H60" s="96"/>
      <c r="I60" s="97"/>
      <c r="J60" s="98"/>
      <c r="K60" s="98"/>
      <c r="L60" s="98"/>
      <c r="M60" s="98"/>
      <c r="N60" s="98"/>
      <c r="O60" s="39"/>
      <c r="P60" s="96"/>
      <c r="Q60" s="97"/>
      <c r="R60" s="98"/>
      <c r="S60" s="39"/>
    </row>
    <row r="61" spans="1:19" ht="15.75" customHeight="1" x14ac:dyDescent="0.3">
      <c r="H61" s="96"/>
      <c r="I61" s="97"/>
      <c r="J61" s="98"/>
      <c r="K61" s="98"/>
      <c r="L61" s="98"/>
      <c r="M61" s="98"/>
      <c r="N61" s="98"/>
      <c r="O61" s="39"/>
      <c r="P61" s="96"/>
      <c r="Q61" s="97"/>
      <c r="R61" s="98"/>
      <c r="S61" s="39"/>
    </row>
    <row r="62" spans="1:19" ht="15.75" customHeight="1" x14ac:dyDescent="0.3">
      <c r="H62" s="96"/>
      <c r="I62" s="97"/>
      <c r="J62" s="98"/>
      <c r="K62" s="98"/>
      <c r="L62" s="98"/>
      <c r="M62" s="98"/>
      <c r="N62" s="98"/>
      <c r="O62" s="39"/>
      <c r="P62" s="96"/>
      <c r="Q62" s="97"/>
      <c r="R62" s="100"/>
      <c r="S62" s="39"/>
    </row>
    <row r="63" spans="1:19" ht="15.75" customHeight="1" x14ac:dyDescent="0.3">
      <c r="H63" s="96"/>
      <c r="I63" s="97"/>
      <c r="J63" s="98"/>
      <c r="K63" s="98"/>
      <c r="L63" s="98"/>
      <c r="M63" s="98"/>
      <c r="N63" s="98"/>
      <c r="O63" s="39"/>
      <c r="P63" s="96"/>
      <c r="Q63" s="97"/>
      <c r="R63" s="100"/>
      <c r="S63" s="39"/>
    </row>
    <row r="64" spans="1:19" ht="15.75" customHeight="1" x14ac:dyDescent="0.3">
      <c r="H64" s="96"/>
      <c r="I64" s="97"/>
      <c r="J64" s="98"/>
      <c r="K64" s="98"/>
      <c r="L64" s="98"/>
      <c r="M64" s="98"/>
      <c r="N64" s="98"/>
      <c r="O64" s="39"/>
      <c r="P64" s="96"/>
      <c r="Q64" s="97"/>
      <c r="R64" s="98"/>
      <c r="S64" s="39"/>
    </row>
    <row r="65" spans="8:19" ht="15.75" customHeight="1" x14ac:dyDescent="0.3">
      <c r="H65" s="96"/>
      <c r="I65" s="97"/>
      <c r="J65" s="98"/>
      <c r="K65" s="98"/>
      <c r="L65" s="98"/>
      <c r="M65" s="98"/>
      <c r="N65" s="98"/>
      <c r="O65" s="39"/>
      <c r="P65" s="96"/>
      <c r="Q65" s="97"/>
      <c r="R65" s="100"/>
      <c r="S65" s="39"/>
    </row>
    <row r="66" spans="8:19" ht="15.75" customHeight="1" x14ac:dyDescent="0.3">
      <c r="H66" s="96"/>
      <c r="I66" s="88"/>
      <c r="J66" s="100"/>
      <c r="K66" s="98"/>
      <c r="L66" s="98"/>
      <c r="M66" s="98"/>
      <c r="N66" s="98"/>
      <c r="O66" s="39"/>
      <c r="P66" s="96"/>
      <c r="Q66" s="97"/>
      <c r="R66" s="98"/>
      <c r="S66" s="39"/>
    </row>
    <row r="67" spans="8:19" ht="15.75" customHeight="1" x14ac:dyDescent="0.3">
      <c r="H67" s="101"/>
      <c r="I67" s="88"/>
      <c r="J67" s="100"/>
      <c r="K67" s="100"/>
      <c r="L67" s="100"/>
      <c r="M67" s="100"/>
      <c r="N67" s="100"/>
      <c r="O67" s="39"/>
      <c r="P67" s="96"/>
      <c r="Q67" s="89"/>
      <c r="R67" s="100"/>
      <c r="S67" s="39"/>
    </row>
    <row r="68" spans="8:19" ht="15.75" customHeight="1" x14ac:dyDescent="0.3">
      <c r="H68" s="96"/>
      <c r="I68" s="97"/>
      <c r="J68" s="98"/>
      <c r="K68" s="98"/>
      <c r="L68" s="98"/>
      <c r="M68" s="98"/>
      <c r="N68" s="98"/>
      <c r="O68" s="39"/>
      <c r="P68" s="101"/>
      <c r="Q68" s="89"/>
      <c r="R68" s="100"/>
      <c r="S68" s="100"/>
    </row>
    <row r="69" spans="8:19" ht="15.75" customHeight="1" x14ac:dyDescent="0.3">
      <c r="H69" s="96"/>
      <c r="I69" s="88"/>
      <c r="J69" s="98"/>
      <c r="K69" s="98"/>
      <c r="L69" s="98"/>
      <c r="M69" s="98"/>
      <c r="N69" s="98"/>
      <c r="O69" s="39"/>
      <c r="P69" s="96"/>
      <c r="Q69" s="97"/>
      <c r="R69" s="98"/>
      <c r="S69" s="39"/>
    </row>
    <row r="70" spans="8:19" ht="15.75" customHeight="1" x14ac:dyDescent="0.3">
      <c r="H70" s="101"/>
      <c r="I70" s="88"/>
      <c r="J70" s="100"/>
      <c r="K70" s="100"/>
      <c r="L70" s="100"/>
      <c r="M70" s="100"/>
      <c r="N70" s="100"/>
      <c r="O70" s="39"/>
      <c r="P70" s="96"/>
      <c r="Q70" s="89"/>
      <c r="R70" s="98"/>
      <c r="S70" s="39"/>
    </row>
    <row r="71" spans="8:19" ht="15.75" customHeight="1" x14ac:dyDescent="0.3">
      <c r="H71" s="96"/>
      <c r="I71" s="88"/>
      <c r="J71" s="98"/>
      <c r="K71" s="98"/>
      <c r="L71" s="98"/>
      <c r="M71" s="98"/>
      <c r="N71" s="98"/>
      <c r="O71" s="39"/>
      <c r="P71" s="101"/>
      <c r="Q71" s="89"/>
      <c r="R71" s="100"/>
      <c r="S71" s="100"/>
    </row>
    <row r="72" spans="8:19" ht="15.75" customHeight="1" x14ac:dyDescent="0.3">
      <c r="H72" s="101"/>
      <c r="I72" s="88"/>
      <c r="J72" s="100"/>
      <c r="K72" s="100"/>
      <c r="L72" s="100"/>
      <c r="M72" s="100"/>
      <c r="N72" s="100"/>
      <c r="O72" s="39"/>
      <c r="P72" s="96"/>
      <c r="Q72" s="89"/>
      <c r="R72" s="98"/>
      <c r="S72" s="39"/>
    </row>
    <row r="73" spans="8:19" ht="15.75" customHeight="1" x14ac:dyDescent="0.3">
      <c r="H73" s="96"/>
      <c r="I73" s="97"/>
      <c r="J73" s="100"/>
      <c r="K73" s="98"/>
      <c r="L73" s="98"/>
      <c r="M73" s="98"/>
      <c r="N73" s="98"/>
      <c r="O73" s="39"/>
      <c r="P73" s="101"/>
      <c r="Q73" s="89"/>
      <c r="R73" s="100"/>
      <c r="S73" s="100"/>
    </row>
    <row r="74" spans="8:19" ht="15.75" customHeight="1" x14ac:dyDescent="0.3">
      <c r="H74" s="96"/>
      <c r="I74" s="97"/>
      <c r="J74" s="100"/>
      <c r="K74" s="98"/>
      <c r="L74" s="98"/>
      <c r="M74" s="98"/>
      <c r="N74" s="98"/>
      <c r="O74" s="39"/>
      <c r="P74" s="96"/>
      <c r="Q74" s="97"/>
      <c r="R74" s="100"/>
      <c r="S74" s="39"/>
    </row>
    <row r="75" spans="8:19" ht="15.75" customHeight="1" x14ac:dyDescent="0.3">
      <c r="H75" s="96"/>
      <c r="I75" s="88"/>
      <c r="J75" s="98"/>
      <c r="K75" s="98"/>
      <c r="L75" s="98"/>
      <c r="M75" s="98"/>
      <c r="N75" s="98"/>
      <c r="O75" s="39"/>
      <c r="P75" s="96"/>
      <c r="Q75" s="97"/>
      <c r="R75" s="100"/>
      <c r="S75" s="39"/>
    </row>
    <row r="76" spans="8:19" ht="15.75" customHeight="1" x14ac:dyDescent="0.3">
      <c r="H76" s="101"/>
      <c r="I76" s="88"/>
      <c r="J76" s="100"/>
      <c r="K76" s="100"/>
      <c r="L76" s="100"/>
      <c r="M76" s="100"/>
      <c r="N76" s="100"/>
      <c r="O76" s="39"/>
      <c r="P76" s="96"/>
      <c r="Q76" s="89"/>
      <c r="R76" s="100"/>
      <c r="S76" s="39"/>
    </row>
    <row r="77" spans="8:19" ht="15.75" customHeight="1" x14ac:dyDescent="0.3">
      <c r="H77" s="96"/>
      <c r="I77" s="97"/>
      <c r="J77" s="100"/>
      <c r="K77" s="98"/>
      <c r="L77" s="98"/>
      <c r="M77" s="98"/>
      <c r="N77" s="98"/>
      <c r="O77" s="39"/>
      <c r="P77" s="101"/>
      <c r="Q77" s="89"/>
      <c r="R77" s="100"/>
      <c r="S77" s="100"/>
    </row>
    <row r="78" spans="8:19" ht="15.75" customHeight="1" x14ac:dyDescent="0.3">
      <c r="H78" s="96"/>
      <c r="I78" s="88"/>
      <c r="J78" s="100"/>
      <c r="K78" s="98"/>
      <c r="L78" s="98"/>
      <c r="M78" s="98"/>
      <c r="N78" s="98"/>
      <c r="O78" s="39"/>
      <c r="P78" s="96"/>
      <c r="Q78" s="97"/>
      <c r="R78" s="100"/>
      <c r="S78" s="39"/>
    </row>
    <row r="79" spans="8:19" ht="15.75" customHeight="1" x14ac:dyDescent="0.3">
      <c r="H79" s="101"/>
      <c r="I79" s="88"/>
      <c r="J79" s="100"/>
      <c r="K79" s="100"/>
      <c r="L79" s="100"/>
      <c r="M79" s="100"/>
      <c r="N79" s="100"/>
      <c r="O79" s="39"/>
      <c r="P79" s="96"/>
      <c r="Q79" s="89"/>
      <c r="R79" s="100"/>
      <c r="S79" s="39"/>
    </row>
    <row r="80" spans="8:19" ht="15.75" customHeight="1" x14ac:dyDescent="0.3">
      <c r="H80" s="96"/>
      <c r="I80" s="97"/>
      <c r="J80" s="100"/>
      <c r="K80" s="98"/>
      <c r="L80" s="98"/>
      <c r="M80" s="98"/>
      <c r="N80" s="98"/>
      <c r="O80" s="39"/>
      <c r="P80" s="101"/>
      <c r="Q80" s="89"/>
      <c r="R80" s="100"/>
      <c r="S80" s="100"/>
    </row>
    <row r="81" spans="8:19" ht="15.75" customHeight="1" x14ac:dyDescent="0.3">
      <c r="H81" s="96"/>
      <c r="I81" s="97"/>
      <c r="J81" s="100"/>
      <c r="K81" s="98"/>
      <c r="L81" s="98"/>
      <c r="M81" s="98"/>
      <c r="N81" s="98"/>
      <c r="O81" s="39"/>
      <c r="P81" s="96"/>
      <c r="Q81" s="97"/>
      <c r="R81" s="100"/>
      <c r="S81" s="39"/>
    </row>
    <row r="82" spans="8:19" ht="15.75" customHeight="1" x14ac:dyDescent="0.3">
      <c r="H82" s="96"/>
      <c r="I82" s="90"/>
      <c r="J82" s="100"/>
      <c r="K82" s="98"/>
      <c r="L82" s="98"/>
      <c r="M82" s="98"/>
      <c r="N82" s="98"/>
      <c r="O82" s="39"/>
      <c r="P82" s="96"/>
      <c r="Q82" s="97"/>
      <c r="R82" s="100"/>
      <c r="S82" s="39"/>
    </row>
    <row r="83" spans="8:19" ht="15.75" customHeight="1" x14ac:dyDescent="0.3">
      <c r="H83" s="101"/>
      <c r="I83" s="88"/>
      <c r="J83" s="100"/>
      <c r="K83" s="100"/>
      <c r="L83" s="100"/>
      <c r="M83" s="100"/>
      <c r="N83" s="100"/>
      <c r="O83" s="39"/>
      <c r="P83" s="96"/>
      <c r="Q83" s="91"/>
      <c r="R83" s="100"/>
      <c r="S83" s="39"/>
    </row>
    <row r="84" spans="8:19" ht="15.75" customHeight="1" x14ac:dyDescent="0.3">
      <c r="H84" s="96"/>
      <c r="I84" s="97"/>
      <c r="J84" s="100"/>
      <c r="K84" s="98"/>
      <c r="L84" s="98"/>
      <c r="M84" s="98"/>
      <c r="N84" s="98"/>
      <c r="O84" s="39"/>
      <c r="P84" s="101"/>
      <c r="Q84" s="89"/>
      <c r="R84" s="100"/>
      <c r="S84" s="100"/>
    </row>
    <row r="85" spans="8:19" ht="15.75" customHeight="1" x14ac:dyDescent="0.3">
      <c r="H85" s="96"/>
      <c r="I85" s="97"/>
      <c r="J85" s="100"/>
      <c r="K85" s="98"/>
      <c r="L85" s="98"/>
      <c r="M85" s="98"/>
      <c r="N85" s="98"/>
      <c r="O85" s="39"/>
      <c r="P85" s="96"/>
      <c r="Q85" s="97"/>
      <c r="R85" s="100"/>
      <c r="S85" s="39"/>
    </row>
    <row r="86" spans="8:19" ht="15.75" customHeight="1" x14ac:dyDescent="0.3">
      <c r="H86" s="96"/>
      <c r="I86" s="88"/>
      <c r="J86" s="98"/>
      <c r="K86" s="98"/>
      <c r="L86" s="98"/>
      <c r="M86" s="98"/>
      <c r="N86" s="98"/>
      <c r="O86" s="39"/>
      <c r="P86" s="96"/>
      <c r="Q86" s="97"/>
      <c r="R86" s="100"/>
      <c r="S86" s="39"/>
    </row>
    <row r="87" spans="8:19" ht="15.75" customHeight="1" x14ac:dyDescent="0.3">
      <c r="H87" s="101"/>
      <c r="I87" s="88"/>
      <c r="J87" s="100"/>
      <c r="K87" s="100"/>
      <c r="L87" s="100"/>
      <c r="M87" s="100"/>
      <c r="N87" s="100"/>
      <c r="O87" s="39"/>
      <c r="P87" s="96"/>
      <c r="Q87" s="89"/>
      <c r="R87" s="98"/>
      <c r="S87" s="39"/>
    </row>
    <row r="88" spans="8:19" ht="15.75" customHeight="1" x14ac:dyDescent="0.3">
      <c r="H88" s="96"/>
      <c r="I88" s="97"/>
      <c r="J88" s="98"/>
      <c r="K88" s="98"/>
      <c r="L88" s="98"/>
      <c r="M88" s="98"/>
      <c r="N88" s="98"/>
      <c r="O88" s="39"/>
      <c r="P88" s="101"/>
      <c r="Q88" s="89"/>
      <c r="R88" s="100"/>
      <c r="S88" s="100"/>
    </row>
    <row r="89" spans="8:19" ht="15.75" customHeight="1" x14ac:dyDescent="0.3">
      <c r="H89" s="96"/>
      <c r="I89" s="88"/>
      <c r="J89" s="98"/>
      <c r="K89" s="98"/>
      <c r="L89" s="98"/>
      <c r="M89" s="98"/>
      <c r="N89" s="98"/>
      <c r="O89" s="39"/>
      <c r="P89" s="96"/>
      <c r="Q89" s="97"/>
      <c r="R89" s="100"/>
      <c r="S89" s="39"/>
    </row>
    <row r="90" spans="8:19" ht="15.75" customHeight="1" x14ac:dyDescent="0.3">
      <c r="H90" s="102"/>
      <c r="I90" s="88"/>
      <c r="J90" s="100"/>
      <c r="K90" s="100"/>
      <c r="L90" s="100"/>
      <c r="M90" s="100"/>
      <c r="N90" s="100"/>
      <c r="O90" s="39"/>
      <c r="P90" s="96"/>
      <c r="Q90" s="89"/>
      <c r="R90" s="98"/>
      <c r="S90" s="39"/>
    </row>
    <row r="91" spans="8:19" ht="15.75" customHeight="1" x14ac:dyDescent="0.3">
      <c r="H91" s="96"/>
      <c r="I91" s="97"/>
      <c r="J91" s="100"/>
      <c r="K91" s="98"/>
      <c r="L91" s="98"/>
      <c r="M91" s="98"/>
      <c r="N91" s="98"/>
      <c r="O91" s="39"/>
      <c r="P91" s="102"/>
      <c r="Q91" s="89"/>
      <c r="R91" s="100"/>
      <c r="S91" s="100"/>
    </row>
    <row r="92" spans="8:19" ht="15.75" customHeight="1" x14ac:dyDescent="0.3">
      <c r="H92" s="103"/>
      <c r="I92" s="97"/>
      <c r="J92" s="98"/>
      <c r="K92" s="98"/>
      <c r="L92" s="98"/>
      <c r="M92" s="98"/>
      <c r="N92" s="98"/>
      <c r="O92" s="39"/>
      <c r="P92" s="96"/>
      <c r="Q92" s="97"/>
      <c r="R92" s="100"/>
      <c r="S92" s="39"/>
    </row>
    <row r="93" spans="8:19" ht="15.75" customHeight="1" x14ac:dyDescent="0.3">
      <c r="H93" s="96"/>
      <c r="I93" s="88"/>
      <c r="J93" s="98"/>
      <c r="K93" s="98"/>
      <c r="L93" s="98"/>
      <c r="M93" s="98"/>
      <c r="N93" s="98"/>
      <c r="O93" s="39"/>
      <c r="P93" s="103"/>
      <c r="Q93" s="97"/>
      <c r="R93" s="100"/>
      <c r="S93" s="39"/>
    </row>
    <row r="94" spans="8:19" ht="15.75" customHeight="1" x14ac:dyDescent="0.3">
      <c r="H94" s="102"/>
      <c r="I94" s="88"/>
      <c r="J94" s="100"/>
      <c r="K94" s="100"/>
      <c r="L94" s="100"/>
      <c r="M94" s="100"/>
      <c r="N94" s="100"/>
      <c r="O94" s="39"/>
      <c r="P94" s="96"/>
      <c r="Q94" s="89"/>
      <c r="R94" s="100"/>
      <c r="S94" s="39"/>
    </row>
    <row r="95" spans="8:19" ht="15.75" customHeight="1" x14ac:dyDescent="0.3">
      <c r="H95" s="104"/>
      <c r="I95" s="97"/>
      <c r="J95" s="100"/>
      <c r="K95" s="98"/>
      <c r="L95" s="98"/>
      <c r="M95" s="98"/>
      <c r="N95" s="98"/>
      <c r="O95" s="39"/>
      <c r="P95" s="102"/>
      <c r="Q95" s="89"/>
      <c r="R95" s="100"/>
      <c r="S95" s="100"/>
    </row>
    <row r="96" spans="8:19" ht="15.75" customHeight="1" x14ac:dyDescent="0.3">
      <c r="H96" s="104"/>
      <c r="I96" s="97"/>
      <c r="J96" s="98"/>
      <c r="K96" s="98"/>
      <c r="L96" s="98"/>
      <c r="M96" s="98"/>
      <c r="N96" s="98"/>
      <c r="O96" s="39"/>
      <c r="P96" s="104"/>
      <c r="Q96" s="97"/>
      <c r="R96" s="100"/>
      <c r="S96" s="39"/>
    </row>
    <row r="97" spans="8:19" ht="15.75" customHeight="1" x14ac:dyDescent="0.3">
      <c r="H97" s="104"/>
      <c r="I97" s="88"/>
      <c r="J97" s="98"/>
      <c r="K97" s="98"/>
      <c r="L97" s="98"/>
      <c r="M97" s="98"/>
      <c r="N97" s="98"/>
      <c r="O97" s="39"/>
      <c r="P97" s="104"/>
      <c r="Q97" s="97"/>
      <c r="R97" s="100"/>
      <c r="S97" s="39"/>
    </row>
    <row r="98" spans="8:19" ht="15.75" customHeight="1" x14ac:dyDescent="0.3">
      <c r="H98" s="39"/>
      <c r="I98" s="97"/>
      <c r="J98" s="39"/>
      <c r="K98" s="39"/>
      <c r="L98" s="39"/>
      <c r="M98" s="39"/>
      <c r="N98" s="39"/>
      <c r="O98" s="39"/>
      <c r="P98" s="104"/>
      <c r="Q98" s="88"/>
      <c r="R98" s="100"/>
      <c r="S98" s="39"/>
    </row>
    <row r="99" spans="8:19" ht="15.75" customHeight="1" x14ac:dyDescent="0.3">
      <c r="H99" s="39"/>
      <c r="I99" s="39"/>
      <c r="J99" s="39"/>
      <c r="K99" s="39"/>
      <c r="L99" s="39"/>
      <c r="M99" s="39"/>
      <c r="N99" s="39"/>
      <c r="O99" s="39"/>
      <c r="P99" s="39"/>
      <c r="Q99" s="97"/>
      <c r="R99" s="39"/>
      <c r="S99" s="3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52E4-AC45-4AD3-9D82-5E4C61E8088C}">
  <sheetPr>
    <outlinePr summaryBelow="0" summaryRight="0"/>
    <pageSetUpPr fitToPage="1"/>
  </sheetPr>
  <dimension ref="A1:M52"/>
  <sheetViews>
    <sheetView zoomScale="55" zoomScaleNormal="55" workbookViewId="0">
      <selection activeCell="L32" sqref="L32"/>
    </sheetView>
  </sheetViews>
  <sheetFormatPr baseColWidth="10" defaultColWidth="12.6640625" defaultRowHeight="15.75" customHeight="1" x14ac:dyDescent="0.25"/>
  <cols>
    <col min="1" max="1" width="51.77734375" customWidth="1"/>
    <col min="10" max="10" width="33" customWidth="1"/>
    <col min="12" max="12" width="39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47"/>
      <c r="M1" s="47"/>
    </row>
    <row r="2" spans="1:13" ht="15.75" customHeight="1" x14ac:dyDescent="0.3">
      <c r="A2" s="2" t="s">
        <v>52</v>
      </c>
      <c r="B2" s="3"/>
      <c r="C2" s="3"/>
      <c r="D2" s="3"/>
      <c r="E2" s="3"/>
      <c r="F2" s="3"/>
      <c r="G2" s="3"/>
      <c r="H2" s="3"/>
      <c r="I2" s="3"/>
      <c r="J2" s="3"/>
      <c r="L2" s="48"/>
      <c r="M2" s="48"/>
    </row>
    <row r="3" spans="1:13" ht="15.75" customHeight="1" x14ac:dyDescent="0.3">
      <c r="A3" s="5" t="s">
        <v>19</v>
      </c>
      <c r="B3" s="21">
        <v>18000</v>
      </c>
      <c r="C3" s="12">
        <v>18000</v>
      </c>
      <c r="D3" s="22">
        <v>72</v>
      </c>
      <c r="E3" s="29"/>
      <c r="F3" s="29">
        <v>19</v>
      </c>
      <c r="G3" s="29"/>
      <c r="H3" s="29">
        <v>12</v>
      </c>
      <c r="I3" s="11">
        <f>(D3+E3-G3-H3-F3)</f>
        <v>41</v>
      </c>
      <c r="J3" s="12">
        <f t="shared" ref="J3:J42" si="0">I3*C3</f>
        <v>738000</v>
      </c>
      <c r="L3" s="41"/>
      <c r="M3" s="41"/>
    </row>
    <row r="4" spans="1:13" ht="15.75" customHeight="1" x14ac:dyDescent="0.3">
      <c r="A4" s="5" t="s">
        <v>23</v>
      </c>
      <c r="B4" s="11"/>
      <c r="C4" s="12">
        <v>16000</v>
      </c>
      <c r="D4" s="22">
        <v>240</v>
      </c>
      <c r="E4" s="29">
        <v>72</v>
      </c>
      <c r="F4" s="29">
        <v>17</v>
      </c>
      <c r="G4" s="29"/>
      <c r="H4" s="29">
        <v>46</v>
      </c>
      <c r="I4" s="11">
        <f t="shared" ref="I4:I42" si="1">(D4+E4-G4-H4-F4)</f>
        <v>249</v>
      </c>
      <c r="J4" s="12">
        <f t="shared" si="0"/>
        <v>3984000</v>
      </c>
      <c r="L4" s="41"/>
      <c r="M4" s="41"/>
    </row>
    <row r="5" spans="1:13" ht="15.75" customHeight="1" x14ac:dyDescent="0.3">
      <c r="A5" s="5" t="s">
        <v>18</v>
      </c>
      <c r="B5" s="11"/>
      <c r="C5" s="12">
        <v>12000</v>
      </c>
      <c r="D5" s="22">
        <f>440+80</f>
        <v>520</v>
      </c>
      <c r="E5" s="29">
        <v>140</v>
      </c>
      <c r="F5" s="29">
        <v>21</v>
      </c>
      <c r="G5" s="29">
        <v>2</v>
      </c>
      <c r="H5" s="29">
        <v>85</v>
      </c>
      <c r="I5" s="11">
        <f t="shared" si="1"/>
        <v>552</v>
      </c>
      <c r="J5" s="12">
        <f t="shared" si="0"/>
        <v>6624000</v>
      </c>
      <c r="L5" s="41"/>
      <c r="M5" s="41"/>
    </row>
    <row r="6" spans="1:13" ht="15.75" customHeight="1" x14ac:dyDescent="0.3">
      <c r="A6" s="5" t="s">
        <v>16</v>
      </c>
      <c r="B6" s="11"/>
      <c r="C6" s="12">
        <v>12000</v>
      </c>
      <c r="D6" s="22">
        <v>24</v>
      </c>
      <c r="E6" s="29"/>
      <c r="F6" s="29">
        <v>1</v>
      </c>
      <c r="G6" s="29"/>
      <c r="H6" s="29">
        <v>13</v>
      </c>
      <c r="I6" s="11">
        <f t="shared" si="1"/>
        <v>10</v>
      </c>
      <c r="J6" s="12">
        <f t="shared" si="0"/>
        <v>120000</v>
      </c>
      <c r="L6" s="41"/>
      <c r="M6" s="41"/>
    </row>
    <row r="7" spans="1:13" ht="15.75" customHeight="1" x14ac:dyDescent="0.3">
      <c r="A7" s="5" t="s">
        <v>24</v>
      </c>
      <c r="B7" s="11"/>
      <c r="C7" s="12">
        <v>12000</v>
      </c>
      <c r="D7" s="22">
        <v>24</v>
      </c>
      <c r="E7" s="29"/>
      <c r="F7" s="29"/>
      <c r="G7" s="29"/>
      <c r="H7" s="29">
        <v>19</v>
      </c>
      <c r="I7" s="11">
        <f t="shared" si="1"/>
        <v>5</v>
      </c>
      <c r="J7" s="12">
        <f t="shared" si="0"/>
        <v>60000</v>
      </c>
      <c r="L7" s="41"/>
      <c r="M7" s="41"/>
    </row>
    <row r="8" spans="1:13" ht="15.75" customHeight="1" x14ac:dyDescent="0.3">
      <c r="A8" s="5" t="s">
        <v>15</v>
      </c>
      <c r="B8" s="11"/>
      <c r="C8" s="12">
        <v>12000</v>
      </c>
      <c r="D8" s="22">
        <v>24</v>
      </c>
      <c r="E8" s="29"/>
      <c r="F8" s="29"/>
      <c r="G8" s="29"/>
      <c r="H8" s="29">
        <v>13</v>
      </c>
      <c r="I8" s="11">
        <f t="shared" si="1"/>
        <v>11</v>
      </c>
      <c r="J8" s="12">
        <f t="shared" si="0"/>
        <v>132000</v>
      </c>
      <c r="L8" s="41"/>
      <c r="M8" s="41"/>
    </row>
    <row r="9" spans="1:13" ht="15.75" customHeight="1" x14ac:dyDescent="0.3">
      <c r="A9" s="5" t="s">
        <v>20</v>
      </c>
      <c r="B9" s="11"/>
      <c r="C9" s="12">
        <v>12000</v>
      </c>
      <c r="D9" s="22">
        <v>12</v>
      </c>
      <c r="E9" s="29"/>
      <c r="F9" s="29"/>
      <c r="G9" s="29"/>
      <c r="H9" s="29">
        <v>5</v>
      </c>
      <c r="I9" s="11">
        <f t="shared" si="1"/>
        <v>7</v>
      </c>
      <c r="J9" s="12">
        <f t="shared" si="0"/>
        <v>84000</v>
      </c>
      <c r="L9" s="41"/>
      <c r="M9" s="41"/>
    </row>
    <row r="10" spans="1:13" ht="15.75" customHeight="1" x14ac:dyDescent="0.3">
      <c r="A10" s="5" t="s">
        <v>17</v>
      </c>
      <c r="B10" s="11"/>
      <c r="C10" s="12">
        <v>12000</v>
      </c>
      <c r="D10" s="22">
        <v>0</v>
      </c>
      <c r="E10" s="29"/>
      <c r="F10" s="29"/>
      <c r="G10" s="29"/>
      <c r="H10" s="29"/>
      <c r="I10" s="11">
        <f t="shared" si="1"/>
        <v>0</v>
      </c>
      <c r="J10" s="12">
        <f t="shared" si="0"/>
        <v>0</v>
      </c>
      <c r="L10" s="41"/>
      <c r="M10" s="41"/>
    </row>
    <row r="11" spans="1:13" ht="15.75" customHeight="1" x14ac:dyDescent="0.3">
      <c r="A11" s="5" t="s">
        <v>25</v>
      </c>
      <c r="B11" s="13"/>
      <c r="C11" s="14">
        <v>25000</v>
      </c>
      <c r="D11" s="22">
        <v>48</v>
      </c>
      <c r="E11" s="28"/>
      <c r="F11" s="28">
        <v>5</v>
      </c>
      <c r="G11" s="32"/>
      <c r="H11" s="32">
        <v>22</v>
      </c>
      <c r="I11" s="11">
        <f t="shared" si="1"/>
        <v>21</v>
      </c>
      <c r="J11" s="12">
        <f t="shared" si="0"/>
        <v>525000</v>
      </c>
      <c r="L11" s="41"/>
      <c r="M11" s="41"/>
    </row>
    <row r="12" spans="1:13" ht="15.75" customHeight="1" x14ac:dyDescent="0.3">
      <c r="A12" s="6" t="s">
        <v>26</v>
      </c>
      <c r="B12" s="16"/>
      <c r="C12" s="17"/>
      <c r="D12" s="23"/>
      <c r="E12" s="35"/>
      <c r="F12" s="35"/>
      <c r="G12" s="33"/>
      <c r="H12" s="33"/>
      <c r="I12" s="18"/>
      <c r="J12" s="18"/>
      <c r="L12" s="41"/>
      <c r="M12" s="41"/>
    </row>
    <row r="13" spans="1:13" ht="15.75" customHeight="1" x14ac:dyDescent="0.3">
      <c r="A13" s="5" t="s">
        <v>27</v>
      </c>
      <c r="B13" s="11"/>
      <c r="C13" s="12">
        <v>13000</v>
      </c>
      <c r="D13" s="22">
        <v>240</v>
      </c>
      <c r="E13" s="29"/>
      <c r="F13" s="29">
        <v>19</v>
      </c>
      <c r="G13" s="29"/>
      <c r="H13" s="29">
        <v>109</v>
      </c>
      <c r="I13" s="11">
        <f t="shared" si="1"/>
        <v>112</v>
      </c>
      <c r="J13" s="12">
        <f t="shared" si="0"/>
        <v>1456000</v>
      </c>
      <c r="L13" s="41"/>
      <c r="M13" s="41"/>
    </row>
    <row r="14" spans="1:13" ht="15.75" customHeight="1" x14ac:dyDescent="0.3">
      <c r="A14" s="5" t="s">
        <v>28</v>
      </c>
      <c r="B14" s="13"/>
      <c r="C14" s="14">
        <v>16000</v>
      </c>
      <c r="D14" s="22">
        <v>96</v>
      </c>
      <c r="E14" s="28"/>
      <c r="F14" s="28">
        <v>1</v>
      </c>
      <c r="G14" s="32"/>
      <c r="H14" s="32">
        <v>18</v>
      </c>
      <c r="I14" s="11">
        <f t="shared" si="1"/>
        <v>77</v>
      </c>
      <c r="J14" s="12">
        <f t="shared" si="0"/>
        <v>1232000</v>
      </c>
      <c r="L14" s="41"/>
      <c r="M14" s="41"/>
    </row>
    <row r="15" spans="1:13" ht="15.75" customHeight="1" x14ac:dyDescent="0.3">
      <c r="A15" s="6" t="s">
        <v>29</v>
      </c>
      <c r="B15" s="16"/>
      <c r="C15" s="17"/>
      <c r="D15" s="23"/>
      <c r="E15" s="35"/>
      <c r="F15" s="35"/>
      <c r="G15" s="33"/>
      <c r="H15" s="33"/>
      <c r="I15" s="18"/>
      <c r="J15" s="18"/>
      <c r="L15" s="41"/>
      <c r="M15" s="41"/>
    </row>
    <row r="16" spans="1:13" ht="15.75" customHeight="1" x14ac:dyDescent="0.3">
      <c r="A16" s="5" t="s">
        <v>30</v>
      </c>
      <c r="B16" s="13"/>
      <c r="C16" s="14">
        <v>25000</v>
      </c>
      <c r="D16" s="22">
        <v>24</v>
      </c>
      <c r="E16" s="28"/>
      <c r="F16" s="28"/>
      <c r="G16" s="32"/>
      <c r="H16" s="32">
        <v>15</v>
      </c>
      <c r="I16" s="11">
        <f t="shared" si="1"/>
        <v>9</v>
      </c>
      <c r="J16" s="12">
        <f t="shared" si="0"/>
        <v>225000</v>
      </c>
      <c r="L16" s="41"/>
      <c r="M16" s="41"/>
    </row>
    <row r="17" spans="1:13" ht="15.75" customHeight="1" x14ac:dyDescent="0.3">
      <c r="A17" s="6" t="s">
        <v>31</v>
      </c>
      <c r="B17" s="16"/>
      <c r="C17" s="17"/>
      <c r="D17" s="23"/>
      <c r="E17" s="35"/>
      <c r="F17" s="35"/>
      <c r="G17" s="33"/>
      <c r="H17" s="33"/>
      <c r="I17" s="18"/>
      <c r="J17" s="18"/>
      <c r="L17" s="41"/>
      <c r="M17" s="41"/>
    </row>
    <row r="18" spans="1:13" ht="15.75" customHeight="1" x14ac:dyDescent="0.3">
      <c r="A18" s="5" t="s">
        <v>32</v>
      </c>
      <c r="B18" s="11"/>
      <c r="C18" s="12">
        <v>400000</v>
      </c>
      <c r="D18" s="22">
        <v>4</v>
      </c>
      <c r="E18" s="29"/>
      <c r="F18" s="29"/>
      <c r="G18" s="29"/>
      <c r="H18" s="29">
        <v>4</v>
      </c>
      <c r="I18" s="11">
        <f t="shared" si="1"/>
        <v>0</v>
      </c>
      <c r="J18" s="12">
        <f t="shared" si="0"/>
        <v>0</v>
      </c>
      <c r="L18" s="41"/>
      <c r="M18" s="41"/>
    </row>
    <row r="19" spans="1:13" ht="15.75" customHeight="1" x14ac:dyDescent="0.3">
      <c r="A19" s="5" t="s">
        <v>33</v>
      </c>
      <c r="B19" s="11"/>
      <c r="C19" s="12">
        <v>360000</v>
      </c>
      <c r="D19" s="22">
        <v>8</v>
      </c>
      <c r="E19" s="29"/>
      <c r="F19" s="29"/>
      <c r="G19" s="29"/>
      <c r="H19" s="29">
        <v>7</v>
      </c>
      <c r="I19" s="11">
        <f t="shared" si="1"/>
        <v>1</v>
      </c>
      <c r="J19" s="12">
        <f t="shared" si="0"/>
        <v>360000</v>
      </c>
      <c r="L19" s="41"/>
      <c r="M19" s="41"/>
    </row>
    <row r="20" spans="1:13" ht="15.75" customHeight="1" x14ac:dyDescent="0.3">
      <c r="A20" s="5" t="s">
        <v>34</v>
      </c>
      <c r="B20" s="13"/>
      <c r="C20" s="14">
        <v>260000</v>
      </c>
      <c r="D20" s="30">
        <v>4</v>
      </c>
      <c r="E20" s="28"/>
      <c r="F20" s="28"/>
      <c r="G20" s="32"/>
      <c r="H20" s="32">
        <v>3</v>
      </c>
      <c r="I20" s="11">
        <f>(D20+E20-G20-H20-F20)</f>
        <v>1</v>
      </c>
      <c r="J20" s="12">
        <f t="shared" si="0"/>
        <v>260000</v>
      </c>
      <c r="L20" s="41"/>
      <c r="M20" s="41"/>
    </row>
    <row r="21" spans="1:13" ht="15.75" customHeight="1" x14ac:dyDescent="0.3">
      <c r="A21" s="6" t="s">
        <v>35</v>
      </c>
      <c r="B21" s="16"/>
      <c r="C21" s="17"/>
      <c r="D21" s="23"/>
      <c r="E21" s="35"/>
      <c r="F21" s="35"/>
      <c r="G21" s="33"/>
      <c r="H21" s="33"/>
      <c r="I21" s="18"/>
      <c r="J21" s="18"/>
      <c r="L21" s="41"/>
      <c r="M21" s="41"/>
    </row>
    <row r="22" spans="1:13" ht="15.75" customHeight="1" x14ac:dyDescent="0.3">
      <c r="A22" s="5" t="s">
        <v>36</v>
      </c>
      <c r="B22" s="11"/>
      <c r="C22" s="12">
        <v>260000</v>
      </c>
      <c r="D22" s="22"/>
      <c r="E22" s="29"/>
      <c r="F22" s="29"/>
      <c r="G22" s="29"/>
      <c r="H22" s="29"/>
      <c r="I22" s="11">
        <f t="shared" si="1"/>
        <v>0</v>
      </c>
      <c r="J22" s="12">
        <f t="shared" si="0"/>
        <v>0</v>
      </c>
      <c r="L22" s="41"/>
      <c r="M22" s="41"/>
    </row>
    <row r="23" spans="1:13" ht="15.75" customHeight="1" x14ac:dyDescent="0.3">
      <c r="A23" s="5" t="s">
        <v>37</v>
      </c>
      <c r="B23" s="13"/>
      <c r="C23" s="14">
        <v>160000</v>
      </c>
      <c r="D23" s="22">
        <v>4</v>
      </c>
      <c r="E23" s="28"/>
      <c r="F23" s="28"/>
      <c r="G23" s="32"/>
      <c r="H23" s="32">
        <v>4</v>
      </c>
      <c r="I23" s="11">
        <f t="shared" si="1"/>
        <v>0</v>
      </c>
      <c r="J23" s="12">
        <f t="shared" si="0"/>
        <v>0</v>
      </c>
      <c r="L23" s="48"/>
      <c r="M23" s="48"/>
    </row>
    <row r="24" spans="1:13" ht="15.75" customHeight="1" x14ac:dyDescent="0.3">
      <c r="A24" s="6" t="s">
        <v>38</v>
      </c>
      <c r="B24" s="16"/>
      <c r="C24" s="17"/>
      <c r="D24" s="23"/>
      <c r="E24" s="35"/>
      <c r="F24" s="35"/>
      <c r="G24" s="33"/>
      <c r="H24" s="33"/>
      <c r="I24" s="18"/>
      <c r="J24" s="18"/>
      <c r="L24" s="41"/>
      <c r="M24" s="41"/>
    </row>
    <row r="25" spans="1:13" ht="15.75" customHeight="1" x14ac:dyDescent="0.3">
      <c r="A25" s="5" t="s">
        <v>11</v>
      </c>
      <c r="B25" s="11"/>
      <c r="C25" s="12">
        <v>800000</v>
      </c>
      <c r="D25" s="22">
        <v>2</v>
      </c>
      <c r="E25" s="29"/>
      <c r="F25" s="29"/>
      <c r="G25" s="29"/>
      <c r="H25" s="29">
        <v>2</v>
      </c>
      <c r="I25" s="11">
        <f t="shared" si="1"/>
        <v>0</v>
      </c>
      <c r="J25" s="12">
        <f t="shared" si="0"/>
        <v>0</v>
      </c>
      <c r="L25" s="41"/>
      <c r="M25" s="41"/>
    </row>
    <row r="26" spans="1:13" ht="15.75" customHeight="1" x14ac:dyDescent="0.3">
      <c r="A26" s="5" t="s">
        <v>12</v>
      </c>
      <c r="B26" s="11"/>
      <c r="C26" s="12">
        <v>460000</v>
      </c>
      <c r="D26" s="22">
        <v>2</v>
      </c>
      <c r="E26" s="29"/>
      <c r="F26" s="29"/>
      <c r="G26" s="29"/>
      <c r="H26" s="29">
        <v>2</v>
      </c>
      <c r="I26" s="11">
        <f t="shared" si="1"/>
        <v>0</v>
      </c>
      <c r="J26" s="12">
        <f t="shared" si="0"/>
        <v>0</v>
      </c>
      <c r="L26" s="48"/>
      <c r="M26" s="48"/>
    </row>
    <row r="27" spans="1:13" ht="15.75" customHeight="1" x14ac:dyDescent="0.3">
      <c r="A27" s="5" t="s">
        <v>39</v>
      </c>
      <c r="B27" s="13"/>
      <c r="C27" s="14">
        <v>260000</v>
      </c>
      <c r="D27" s="22">
        <v>5</v>
      </c>
      <c r="E27" s="36"/>
      <c r="F27" s="36"/>
      <c r="G27" s="34"/>
      <c r="H27" s="34">
        <v>5</v>
      </c>
      <c r="I27" s="11">
        <f t="shared" si="1"/>
        <v>0</v>
      </c>
      <c r="J27" s="12">
        <f t="shared" si="0"/>
        <v>0</v>
      </c>
      <c r="L27" s="41"/>
      <c r="M27" s="41"/>
    </row>
    <row r="28" spans="1:13" ht="15.75" customHeight="1" x14ac:dyDescent="0.3">
      <c r="A28" s="6" t="s">
        <v>40</v>
      </c>
      <c r="B28" s="16"/>
      <c r="C28" s="17"/>
      <c r="D28" s="23"/>
      <c r="E28" s="35"/>
      <c r="F28" s="35"/>
      <c r="G28" s="33"/>
      <c r="H28" s="33"/>
      <c r="I28" s="18"/>
      <c r="J28" s="18"/>
      <c r="L28" s="41"/>
      <c r="M28" s="41"/>
    </row>
    <row r="29" spans="1:13" ht="15.75" customHeight="1" x14ac:dyDescent="0.3">
      <c r="A29" s="5" t="s">
        <v>14</v>
      </c>
      <c r="B29" s="11"/>
      <c r="C29" s="12">
        <v>350000</v>
      </c>
      <c r="D29" s="22">
        <v>4</v>
      </c>
      <c r="E29" s="29"/>
      <c r="F29" s="29"/>
      <c r="G29" s="29"/>
      <c r="H29" s="29">
        <v>4</v>
      </c>
      <c r="I29" s="11">
        <f t="shared" si="1"/>
        <v>0</v>
      </c>
      <c r="J29" s="12">
        <f t="shared" si="0"/>
        <v>0</v>
      </c>
      <c r="L29" s="48"/>
      <c r="M29" s="48"/>
    </row>
    <row r="30" spans="1:13" ht="15.6" x14ac:dyDescent="0.3">
      <c r="A30" s="5" t="s">
        <v>41</v>
      </c>
      <c r="B30" s="11"/>
      <c r="C30" s="12">
        <v>160000</v>
      </c>
      <c r="D30" s="22">
        <v>5</v>
      </c>
      <c r="E30" s="29"/>
      <c r="F30" s="29"/>
      <c r="G30" s="29"/>
      <c r="H30" s="29">
        <v>4</v>
      </c>
      <c r="I30" s="11">
        <f t="shared" si="1"/>
        <v>1</v>
      </c>
      <c r="J30" s="12">
        <f t="shared" si="0"/>
        <v>160000</v>
      </c>
      <c r="L30" s="41"/>
      <c r="M30" s="41"/>
    </row>
    <row r="31" spans="1:13" ht="15.6" x14ac:dyDescent="0.3">
      <c r="A31" s="5" t="s">
        <v>42</v>
      </c>
      <c r="B31" s="13"/>
      <c r="C31" s="14">
        <v>160000</v>
      </c>
      <c r="D31" s="22">
        <v>15</v>
      </c>
      <c r="E31" s="28"/>
      <c r="F31" s="28"/>
      <c r="G31" s="32"/>
      <c r="H31" s="32">
        <v>12</v>
      </c>
      <c r="I31" s="11">
        <f t="shared" si="1"/>
        <v>3</v>
      </c>
      <c r="J31" s="12">
        <f t="shared" si="0"/>
        <v>480000</v>
      </c>
      <c r="L31" s="41"/>
      <c r="M31" s="41"/>
    </row>
    <row r="32" spans="1:13" ht="15.6" x14ac:dyDescent="0.3">
      <c r="A32" s="6" t="s">
        <v>43</v>
      </c>
      <c r="B32" s="16"/>
      <c r="C32" s="17"/>
      <c r="D32" s="23"/>
      <c r="E32" s="35"/>
      <c r="F32" s="35"/>
      <c r="G32" s="33"/>
      <c r="H32" s="33"/>
      <c r="I32" s="18"/>
      <c r="J32" s="18"/>
      <c r="L32" s="41"/>
      <c r="M32" s="41"/>
    </row>
    <row r="33" spans="1:13" ht="15.6" x14ac:dyDescent="0.3">
      <c r="A33" s="5" t="s">
        <v>13</v>
      </c>
      <c r="B33" s="11"/>
      <c r="C33" s="12">
        <v>360000</v>
      </c>
      <c r="D33" s="22">
        <v>1</v>
      </c>
      <c r="E33" s="29"/>
      <c r="F33" s="29"/>
      <c r="G33" s="29"/>
      <c r="H33" s="29">
        <v>0</v>
      </c>
      <c r="I33" s="11">
        <f t="shared" si="1"/>
        <v>1</v>
      </c>
      <c r="J33" s="12">
        <f t="shared" si="0"/>
        <v>360000</v>
      </c>
      <c r="L33" s="48"/>
      <c r="M33" s="48"/>
    </row>
    <row r="34" spans="1:13" ht="15.6" x14ac:dyDescent="0.3">
      <c r="A34" s="5" t="s">
        <v>44</v>
      </c>
      <c r="B34" s="13"/>
      <c r="C34" s="14">
        <v>260000</v>
      </c>
      <c r="D34" s="22">
        <v>5</v>
      </c>
      <c r="E34" s="28"/>
      <c r="F34" s="28"/>
      <c r="G34" s="32"/>
      <c r="H34" s="32">
        <v>4</v>
      </c>
      <c r="I34" s="11">
        <f t="shared" si="1"/>
        <v>1</v>
      </c>
      <c r="J34" s="12">
        <f t="shared" si="0"/>
        <v>260000</v>
      </c>
      <c r="L34" s="41"/>
      <c r="M34" s="41"/>
    </row>
    <row r="35" spans="1:13" ht="15.6" x14ac:dyDescent="0.3">
      <c r="A35" s="7" t="s">
        <v>45</v>
      </c>
      <c r="B35" s="16"/>
      <c r="C35" s="17"/>
      <c r="D35" s="24"/>
      <c r="E35" s="35"/>
      <c r="F35" s="35"/>
      <c r="G35" s="33"/>
      <c r="H35" s="33"/>
      <c r="I35" s="18"/>
      <c r="J35" s="18"/>
      <c r="L35" s="41"/>
      <c r="M35" s="41"/>
    </row>
    <row r="36" spans="1:13" ht="15.6" x14ac:dyDescent="0.3">
      <c r="A36" s="5" t="s">
        <v>46</v>
      </c>
      <c r="B36" s="11"/>
      <c r="C36" s="12">
        <v>180000</v>
      </c>
      <c r="D36" s="22">
        <v>8</v>
      </c>
      <c r="E36" s="29"/>
      <c r="F36" s="29"/>
      <c r="G36" s="29"/>
      <c r="H36" s="29">
        <v>7</v>
      </c>
      <c r="I36" s="11">
        <f t="shared" si="1"/>
        <v>1</v>
      </c>
      <c r="J36" s="12">
        <f t="shared" si="0"/>
        <v>180000</v>
      </c>
      <c r="L36" s="41"/>
      <c r="M36" s="41"/>
    </row>
    <row r="37" spans="1:13" ht="15.6" x14ac:dyDescent="0.3">
      <c r="A37" s="5" t="s">
        <v>47</v>
      </c>
      <c r="B37" s="13"/>
      <c r="C37" s="14">
        <v>160000</v>
      </c>
      <c r="D37" s="22">
        <v>12</v>
      </c>
      <c r="E37" s="28"/>
      <c r="F37" s="28"/>
      <c r="G37" s="32"/>
      <c r="H37" s="32">
        <v>10</v>
      </c>
      <c r="I37" s="11">
        <f t="shared" si="1"/>
        <v>2</v>
      </c>
      <c r="J37" s="12">
        <f t="shared" si="0"/>
        <v>320000</v>
      </c>
      <c r="L37" s="41"/>
      <c r="M37" s="41"/>
    </row>
    <row r="38" spans="1:13" ht="15.6" x14ac:dyDescent="0.3">
      <c r="A38" s="7" t="s">
        <v>48</v>
      </c>
      <c r="B38" s="16"/>
      <c r="C38" s="17"/>
      <c r="D38" s="24"/>
      <c r="E38" s="35"/>
      <c r="F38" s="35"/>
      <c r="G38" s="33"/>
      <c r="H38" s="33"/>
      <c r="I38" s="18"/>
      <c r="J38" s="18"/>
      <c r="L38" s="41"/>
      <c r="M38" s="41"/>
    </row>
    <row r="39" spans="1:13" ht="15.6" x14ac:dyDescent="0.3">
      <c r="A39" s="5" t="s">
        <v>49</v>
      </c>
      <c r="B39" s="11"/>
      <c r="C39" s="12">
        <v>5000</v>
      </c>
      <c r="D39" s="22">
        <v>18</v>
      </c>
      <c r="E39" s="29"/>
      <c r="F39" s="29"/>
      <c r="G39" s="29"/>
      <c r="H39" s="29">
        <v>0</v>
      </c>
      <c r="I39" s="11">
        <f t="shared" si="1"/>
        <v>18</v>
      </c>
      <c r="J39" s="12">
        <f t="shared" si="0"/>
        <v>90000</v>
      </c>
      <c r="L39" s="41"/>
      <c r="M39" s="41"/>
    </row>
    <row r="40" spans="1:13" ht="15.6" x14ac:dyDescent="0.3">
      <c r="A40" s="5" t="s">
        <v>50</v>
      </c>
      <c r="B40" s="11"/>
      <c r="C40" s="12">
        <v>2000</v>
      </c>
      <c r="D40" s="22">
        <v>48</v>
      </c>
      <c r="E40" s="29">
        <v>72</v>
      </c>
      <c r="F40" s="29"/>
      <c r="G40" s="29"/>
      <c r="H40" s="29">
        <v>23</v>
      </c>
      <c r="I40" s="11">
        <f t="shared" si="1"/>
        <v>97</v>
      </c>
      <c r="J40" s="12">
        <f t="shared" si="0"/>
        <v>194000</v>
      </c>
      <c r="L40" s="49"/>
      <c r="M40" s="49"/>
    </row>
    <row r="41" spans="1:13" ht="15.6" x14ac:dyDescent="0.3">
      <c r="A41" s="5" t="s">
        <v>51</v>
      </c>
      <c r="B41" s="15"/>
      <c r="C41" s="14">
        <v>15000</v>
      </c>
      <c r="D41" s="22">
        <v>20</v>
      </c>
      <c r="E41" s="32">
        <v>20</v>
      </c>
      <c r="F41" s="32"/>
      <c r="G41" s="32"/>
      <c r="H41" s="32">
        <v>10</v>
      </c>
      <c r="I41" s="11">
        <f t="shared" si="1"/>
        <v>30</v>
      </c>
      <c r="J41" s="12">
        <f t="shared" si="0"/>
        <v>450000</v>
      </c>
      <c r="L41" s="41"/>
      <c r="M41" s="41"/>
    </row>
    <row r="42" spans="1:13" ht="15.6" x14ac:dyDescent="0.3">
      <c r="A42" s="8" t="s">
        <v>58</v>
      </c>
      <c r="B42" s="11"/>
      <c r="C42" s="12">
        <v>260000</v>
      </c>
      <c r="D42" s="22">
        <v>6</v>
      </c>
      <c r="E42" s="29">
        <v>6</v>
      </c>
      <c r="F42" s="29"/>
      <c r="G42" s="29"/>
      <c r="H42" s="29">
        <v>4</v>
      </c>
      <c r="I42" s="11">
        <f t="shared" si="1"/>
        <v>8</v>
      </c>
      <c r="J42" s="12">
        <f t="shared" si="0"/>
        <v>2080000</v>
      </c>
      <c r="L42" s="41"/>
      <c r="M42" s="41"/>
    </row>
    <row r="43" spans="1:13" ht="14.4" x14ac:dyDescent="0.3">
      <c r="A43" s="4"/>
      <c r="B43" s="4"/>
      <c r="C43" s="4"/>
      <c r="D43" s="4"/>
      <c r="E43" s="4"/>
      <c r="F43" s="4"/>
      <c r="G43" s="4"/>
      <c r="H43" s="4"/>
      <c r="I43" s="9" t="s">
        <v>22</v>
      </c>
      <c r="J43" s="10">
        <f>SUM(J3:J42)</f>
        <v>20374000</v>
      </c>
      <c r="L43" s="48"/>
      <c r="M43" s="48"/>
    </row>
    <row r="44" spans="1:13" ht="15.75" customHeight="1" x14ac:dyDescent="0.25">
      <c r="L44" s="41"/>
      <c r="M44" s="41"/>
    </row>
    <row r="45" spans="1:13" ht="15.75" customHeight="1" x14ac:dyDescent="0.25">
      <c r="L45" s="41"/>
      <c r="M45" s="41"/>
    </row>
    <row r="46" spans="1:13" ht="15.75" customHeight="1" x14ac:dyDescent="0.3">
      <c r="L46" s="27"/>
    </row>
    <row r="47" spans="1:13" ht="15.75" customHeight="1" x14ac:dyDescent="0.25">
      <c r="L47" s="25"/>
    </row>
    <row r="48" spans="1:13" ht="15.75" customHeight="1" x14ac:dyDescent="0.25">
      <c r="L48" s="25"/>
    </row>
    <row r="49" spans="12:12" ht="15.75" customHeight="1" x14ac:dyDescent="0.25">
      <c r="L49" s="26"/>
    </row>
    <row r="50" spans="12:12" ht="15.75" customHeight="1" x14ac:dyDescent="0.25">
      <c r="L50" s="26"/>
    </row>
    <row r="51" spans="12:12" ht="15.75" customHeight="1" x14ac:dyDescent="0.25">
      <c r="L51" s="26"/>
    </row>
    <row r="52" spans="12:12" ht="15.75" customHeight="1" x14ac:dyDescent="0.25">
      <c r="L52" s="2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DB80-BA9E-4185-A5A8-9C1E07DB3D08}">
  <dimension ref="A1:G73"/>
  <sheetViews>
    <sheetView topLeftCell="A46" workbookViewId="0">
      <selection activeCell="F42" sqref="F42"/>
    </sheetView>
  </sheetViews>
  <sheetFormatPr baseColWidth="10" defaultRowHeight="13.2" x14ac:dyDescent="0.25"/>
  <cols>
    <col min="2" max="2" width="25.44140625" customWidth="1"/>
    <col min="4" max="4" width="20.21875" customWidth="1"/>
    <col min="5" max="5" width="24.77734375" customWidth="1"/>
    <col min="6" max="6" width="27" customWidth="1"/>
  </cols>
  <sheetData>
    <row r="1" spans="1:7" ht="18" x14ac:dyDescent="0.35">
      <c r="A1" s="50" t="s">
        <v>74</v>
      </c>
      <c r="B1" s="50"/>
      <c r="C1" s="50"/>
      <c r="D1" s="50"/>
      <c r="E1" s="50"/>
      <c r="F1" s="50"/>
      <c r="G1" s="50"/>
    </row>
    <row r="2" spans="1:7" ht="14.4" x14ac:dyDescent="0.25">
      <c r="A2" s="40" t="s">
        <v>75</v>
      </c>
      <c r="B2" s="40" t="s">
        <v>66</v>
      </c>
      <c r="C2" s="40" t="s">
        <v>76</v>
      </c>
      <c r="D2" s="40" t="s">
        <v>77</v>
      </c>
      <c r="E2" s="40" t="s">
        <v>78</v>
      </c>
      <c r="F2" s="40" t="s">
        <v>79</v>
      </c>
      <c r="G2" s="40" t="s">
        <v>80</v>
      </c>
    </row>
    <row r="3" spans="1:7" x14ac:dyDescent="0.25">
      <c r="A3" s="21" t="s">
        <v>81</v>
      </c>
      <c r="B3" s="21" t="s">
        <v>27</v>
      </c>
      <c r="C3" s="21">
        <v>2</v>
      </c>
      <c r="D3" s="51">
        <v>13000</v>
      </c>
      <c r="E3" s="51">
        <v>26000</v>
      </c>
      <c r="F3" s="21" t="s">
        <v>82</v>
      </c>
      <c r="G3" s="21" t="s">
        <v>69</v>
      </c>
    </row>
    <row r="4" spans="1:7" x14ac:dyDescent="0.25">
      <c r="A4" s="21" t="s">
        <v>81</v>
      </c>
      <c r="B4" s="21" t="s">
        <v>19</v>
      </c>
      <c r="C4" s="21">
        <v>2</v>
      </c>
      <c r="D4" s="51">
        <v>18000</v>
      </c>
      <c r="E4" s="51">
        <v>36000</v>
      </c>
      <c r="F4" s="21" t="s">
        <v>72</v>
      </c>
      <c r="G4" s="21" t="s">
        <v>69</v>
      </c>
    </row>
    <row r="5" spans="1:7" x14ac:dyDescent="0.25">
      <c r="A5" s="21" t="s">
        <v>83</v>
      </c>
      <c r="B5" s="21" t="s">
        <v>23</v>
      </c>
      <c r="C5" s="21">
        <v>2</v>
      </c>
      <c r="D5" s="51">
        <v>16000</v>
      </c>
      <c r="E5" s="51">
        <v>32000</v>
      </c>
      <c r="F5" s="21" t="s">
        <v>84</v>
      </c>
      <c r="G5" s="21" t="s">
        <v>69</v>
      </c>
    </row>
    <row r="6" spans="1:7" x14ac:dyDescent="0.25">
      <c r="A6" s="21" t="s">
        <v>83</v>
      </c>
      <c r="B6" s="21" t="s">
        <v>18</v>
      </c>
      <c r="C6" s="21">
        <v>2</v>
      </c>
      <c r="D6" s="51">
        <v>12000</v>
      </c>
      <c r="E6" s="51">
        <v>24000</v>
      </c>
      <c r="F6" s="21" t="s">
        <v>84</v>
      </c>
      <c r="G6" s="21" t="s">
        <v>69</v>
      </c>
    </row>
    <row r="7" spans="1:7" x14ac:dyDescent="0.25">
      <c r="A7" s="21" t="s">
        <v>83</v>
      </c>
      <c r="B7" s="21" t="s">
        <v>23</v>
      </c>
      <c r="C7" s="21">
        <v>1</v>
      </c>
      <c r="D7" s="51">
        <v>16000</v>
      </c>
      <c r="E7" s="51">
        <v>16000</v>
      </c>
      <c r="F7" s="21" t="s">
        <v>85</v>
      </c>
      <c r="G7" s="21" t="s">
        <v>69</v>
      </c>
    </row>
    <row r="8" spans="1:7" x14ac:dyDescent="0.25">
      <c r="A8" s="21" t="s">
        <v>86</v>
      </c>
      <c r="B8" s="21" t="s">
        <v>64</v>
      </c>
      <c r="C8" s="21">
        <v>1</v>
      </c>
      <c r="D8" s="51">
        <v>25000</v>
      </c>
      <c r="E8" s="51">
        <v>25000</v>
      </c>
      <c r="F8" s="21" t="s">
        <v>85</v>
      </c>
      <c r="G8" s="21" t="s">
        <v>69</v>
      </c>
    </row>
    <row r="9" spans="1:7" x14ac:dyDescent="0.25">
      <c r="A9" s="21" t="s">
        <v>86</v>
      </c>
      <c r="B9" s="21" t="s">
        <v>16</v>
      </c>
      <c r="C9" s="21">
        <v>1</v>
      </c>
      <c r="D9" s="51">
        <v>12000</v>
      </c>
      <c r="E9" s="51">
        <v>12000</v>
      </c>
      <c r="F9" s="21" t="s">
        <v>85</v>
      </c>
      <c r="G9" s="21" t="s">
        <v>69</v>
      </c>
    </row>
    <row r="10" spans="1:7" x14ac:dyDescent="0.25">
      <c r="A10" s="21" t="s">
        <v>86</v>
      </c>
      <c r="B10" s="21" t="s">
        <v>19</v>
      </c>
      <c r="C10" s="21">
        <v>3</v>
      </c>
      <c r="D10" s="51">
        <v>18000</v>
      </c>
      <c r="E10" s="51">
        <v>54000</v>
      </c>
      <c r="F10" s="21" t="s">
        <v>85</v>
      </c>
      <c r="G10" s="21" t="s">
        <v>69</v>
      </c>
    </row>
    <row r="11" spans="1:7" x14ac:dyDescent="0.25">
      <c r="A11" s="21" t="s">
        <v>86</v>
      </c>
      <c r="B11" s="21" t="s">
        <v>18</v>
      </c>
      <c r="C11" s="21">
        <v>4</v>
      </c>
      <c r="D11" s="51">
        <v>12000</v>
      </c>
      <c r="E11" s="51">
        <v>48000</v>
      </c>
      <c r="F11" s="21" t="s">
        <v>85</v>
      </c>
      <c r="G11" s="21" t="s">
        <v>69</v>
      </c>
    </row>
    <row r="12" spans="1:7" x14ac:dyDescent="0.25">
      <c r="A12" s="21" t="s">
        <v>87</v>
      </c>
      <c r="B12" s="21" t="s">
        <v>19</v>
      </c>
      <c r="C12" s="21">
        <v>2</v>
      </c>
      <c r="D12" s="51">
        <v>18000</v>
      </c>
      <c r="E12" s="51">
        <v>36000</v>
      </c>
      <c r="F12" s="21" t="s">
        <v>88</v>
      </c>
      <c r="G12" s="21" t="s">
        <v>69</v>
      </c>
    </row>
    <row r="13" spans="1:7" x14ac:dyDescent="0.25">
      <c r="A13" s="21" t="s">
        <v>89</v>
      </c>
      <c r="B13" s="21" t="s">
        <v>64</v>
      </c>
      <c r="C13" s="21">
        <v>1</v>
      </c>
      <c r="D13" s="51">
        <v>25000</v>
      </c>
      <c r="E13" s="51">
        <v>25000</v>
      </c>
      <c r="F13" s="21" t="s">
        <v>90</v>
      </c>
      <c r="G13" s="21" t="s">
        <v>69</v>
      </c>
    </row>
    <row r="14" spans="1:7" x14ac:dyDescent="0.25">
      <c r="A14" s="21" t="s">
        <v>91</v>
      </c>
      <c r="B14" s="21" t="s">
        <v>23</v>
      </c>
      <c r="C14" s="21">
        <v>7</v>
      </c>
      <c r="D14" s="51">
        <v>16000</v>
      </c>
      <c r="E14" s="51">
        <v>112000</v>
      </c>
      <c r="F14" s="21" t="s">
        <v>72</v>
      </c>
      <c r="G14" s="21" t="s">
        <v>69</v>
      </c>
    </row>
    <row r="15" spans="1:7" x14ac:dyDescent="0.25">
      <c r="A15" s="21" t="s">
        <v>92</v>
      </c>
      <c r="B15" s="21" t="s">
        <v>19</v>
      </c>
      <c r="C15" s="21">
        <v>9</v>
      </c>
      <c r="D15" s="51">
        <v>18000</v>
      </c>
      <c r="E15" s="51">
        <v>162000</v>
      </c>
      <c r="F15" s="21" t="s">
        <v>72</v>
      </c>
      <c r="G15" s="21" t="s">
        <v>69</v>
      </c>
    </row>
    <row r="16" spans="1:7" x14ac:dyDescent="0.25">
      <c r="A16" s="21" t="s">
        <v>92</v>
      </c>
      <c r="B16" s="21" t="s">
        <v>18</v>
      </c>
      <c r="C16" s="21">
        <v>3</v>
      </c>
      <c r="D16" s="51">
        <v>12000</v>
      </c>
      <c r="E16" s="51">
        <v>36000</v>
      </c>
      <c r="F16" s="21" t="s">
        <v>72</v>
      </c>
      <c r="G16" s="21" t="s">
        <v>69</v>
      </c>
    </row>
    <row r="17" spans="1:7" x14ac:dyDescent="0.25">
      <c r="A17" s="21" t="s">
        <v>93</v>
      </c>
      <c r="B17" s="21" t="s">
        <v>27</v>
      </c>
      <c r="C17" s="21">
        <v>14</v>
      </c>
      <c r="D17" s="51">
        <v>13000</v>
      </c>
      <c r="E17" s="51">
        <v>182000</v>
      </c>
      <c r="F17" s="21" t="s">
        <v>94</v>
      </c>
      <c r="G17" s="21" t="s">
        <v>69</v>
      </c>
    </row>
    <row r="18" spans="1:7" x14ac:dyDescent="0.25">
      <c r="A18" s="21" t="s">
        <v>95</v>
      </c>
      <c r="B18" s="21" t="s">
        <v>23</v>
      </c>
      <c r="C18" s="21">
        <v>2</v>
      </c>
      <c r="D18" s="51">
        <v>16000</v>
      </c>
      <c r="E18" s="51">
        <v>32000</v>
      </c>
      <c r="F18" s="21" t="s">
        <v>94</v>
      </c>
      <c r="G18" s="21" t="s">
        <v>69</v>
      </c>
    </row>
    <row r="19" spans="1:7" x14ac:dyDescent="0.25">
      <c r="A19" s="21" t="s">
        <v>95</v>
      </c>
      <c r="B19" s="21" t="s">
        <v>19</v>
      </c>
      <c r="C19" s="21">
        <v>1</v>
      </c>
      <c r="D19" s="51">
        <v>18000</v>
      </c>
      <c r="E19" s="51">
        <v>18000</v>
      </c>
      <c r="F19" s="21" t="s">
        <v>94</v>
      </c>
      <c r="G19" s="21" t="s">
        <v>69</v>
      </c>
    </row>
    <row r="20" spans="1:7" x14ac:dyDescent="0.25">
      <c r="A20" s="21" t="s">
        <v>96</v>
      </c>
      <c r="B20" s="21" t="s">
        <v>23</v>
      </c>
      <c r="C20" s="21">
        <v>1</v>
      </c>
      <c r="D20" s="51">
        <v>16000</v>
      </c>
      <c r="E20" s="51">
        <v>16000</v>
      </c>
      <c r="F20" s="21" t="s">
        <v>97</v>
      </c>
      <c r="G20" s="21" t="s">
        <v>69</v>
      </c>
    </row>
    <row r="21" spans="1:7" x14ac:dyDescent="0.25">
      <c r="A21" s="21" t="s">
        <v>96</v>
      </c>
      <c r="B21" s="21" t="s">
        <v>19</v>
      </c>
      <c r="C21" s="21">
        <v>1</v>
      </c>
      <c r="D21" s="51">
        <v>18000</v>
      </c>
      <c r="E21" s="51">
        <v>18000</v>
      </c>
      <c r="F21" s="21" t="s">
        <v>97</v>
      </c>
      <c r="G21" s="21" t="s">
        <v>69</v>
      </c>
    </row>
    <row r="22" spans="1:7" x14ac:dyDescent="0.25">
      <c r="A22" s="21" t="s">
        <v>98</v>
      </c>
      <c r="B22" s="21" t="s">
        <v>19</v>
      </c>
      <c r="C22" s="21">
        <v>1</v>
      </c>
      <c r="D22" s="51">
        <v>18000</v>
      </c>
      <c r="E22" s="51">
        <v>18000</v>
      </c>
      <c r="F22" s="21" t="s">
        <v>99</v>
      </c>
      <c r="G22" s="21" t="s">
        <v>69</v>
      </c>
    </row>
    <row r="23" spans="1:7" x14ac:dyDescent="0.25">
      <c r="A23" s="21" t="s">
        <v>98</v>
      </c>
      <c r="B23" s="21" t="s">
        <v>23</v>
      </c>
      <c r="C23" s="21">
        <v>1</v>
      </c>
      <c r="D23" s="51">
        <v>16000</v>
      </c>
      <c r="E23" s="51">
        <v>16000</v>
      </c>
      <c r="F23" s="21" t="s">
        <v>99</v>
      </c>
      <c r="G23" s="21" t="s">
        <v>69</v>
      </c>
    </row>
    <row r="24" spans="1:7" x14ac:dyDescent="0.25">
      <c r="A24" s="21" t="s">
        <v>98</v>
      </c>
      <c r="B24" s="21" t="s">
        <v>64</v>
      </c>
      <c r="C24" s="21">
        <v>1</v>
      </c>
      <c r="D24" s="51">
        <v>25000</v>
      </c>
      <c r="E24" s="51">
        <v>25000</v>
      </c>
      <c r="F24" s="21" t="s">
        <v>100</v>
      </c>
      <c r="G24" s="21" t="s">
        <v>69</v>
      </c>
    </row>
    <row r="25" spans="1:7" x14ac:dyDescent="0.25">
      <c r="A25" s="21" t="s">
        <v>101</v>
      </c>
      <c r="B25" s="21" t="s">
        <v>23</v>
      </c>
      <c r="C25" s="21">
        <v>3</v>
      </c>
      <c r="D25" s="51">
        <v>16000</v>
      </c>
      <c r="E25" s="51">
        <v>48000</v>
      </c>
      <c r="F25" s="21" t="s">
        <v>88</v>
      </c>
      <c r="G25" s="21" t="s">
        <v>69</v>
      </c>
    </row>
    <row r="26" spans="1:7" x14ac:dyDescent="0.25">
      <c r="A26" s="21" t="s">
        <v>101</v>
      </c>
      <c r="B26" s="21" t="s">
        <v>18</v>
      </c>
      <c r="C26" s="21">
        <v>1</v>
      </c>
      <c r="D26" s="51">
        <v>12000</v>
      </c>
      <c r="E26" s="51">
        <v>12000</v>
      </c>
      <c r="F26" s="21" t="s">
        <v>88</v>
      </c>
      <c r="G26" s="21" t="s">
        <v>69</v>
      </c>
    </row>
    <row r="27" spans="1:7" x14ac:dyDescent="0.25">
      <c r="A27" s="21" t="s">
        <v>102</v>
      </c>
      <c r="B27" s="21" t="s">
        <v>18</v>
      </c>
      <c r="C27" s="21">
        <v>7</v>
      </c>
      <c r="D27" s="51">
        <v>12000</v>
      </c>
      <c r="E27" s="51">
        <v>84000</v>
      </c>
      <c r="F27" s="21" t="s">
        <v>103</v>
      </c>
      <c r="G27" s="21" t="s">
        <v>69</v>
      </c>
    </row>
    <row r="28" spans="1:7" x14ac:dyDescent="0.25">
      <c r="A28" s="21" t="s">
        <v>104</v>
      </c>
      <c r="B28" s="21" t="s">
        <v>18</v>
      </c>
      <c r="C28" s="21">
        <v>2</v>
      </c>
      <c r="D28" s="51">
        <v>12000</v>
      </c>
      <c r="E28" s="51">
        <v>24000</v>
      </c>
      <c r="F28" s="21" t="s">
        <v>105</v>
      </c>
      <c r="G28" s="21" t="s">
        <v>69</v>
      </c>
    </row>
    <row r="29" spans="1:7" x14ac:dyDescent="0.25">
      <c r="A29" s="21" t="s">
        <v>104</v>
      </c>
      <c r="B29" s="21" t="s">
        <v>64</v>
      </c>
      <c r="C29" s="21">
        <v>2</v>
      </c>
      <c r="D29" s="51">
        <v>25000</v>
      </c>
      <c r="E29" s="51">
        <v>50000</v>
      </c>
      <c r="F29" s="21" t="s">
        <v>105</v>
      </c>
      <c r="G29" s="21" t="s">
        <v>69</v>
      </c>
    </row>
    <row r="30" spans="1:7" x14ac:dyDescent="0.25">
      <c r="A30" s="21" t="s">
        <v>106</v>
      </c>
      <c r="B30" s="21" t="s">
        <v>27</v>
      </c>
      <c r="C30" s="21">
        <v>3</v>
      </c>
      <c r="D30" s="51">
        <v>13000</v>
      </c>
      <c r="E30" s="51">
        <v>39000</v>
      </c>
      <c r="F30" s="21" t="s">
        <v>107</v>
      </c>
      <c r="G30" s="21" t="s">
        <v>69</v>
      </c>
    </row>
    <row r="31" spans="1:7" x14ac:dyDescent="0.25">
      <c r="A31" s="21" t="s">
        <v>106</v>
      </c>
      <c r="B31" s="21" t="s">
        <v>28</v>
      </c>
      <c r="C31" s="21">
        <v>1</v>
      </c>
      <c r="D31" s="51">
        <v>16000</v>
      </c>
      <c r="E31" s="51">
        <v>16000</v>
      </c>
      <c r="F31" s="21" t="s">
        <v>107</v>
      </c>
      <c r="G31" s="21" t="s">
        <v>69</v>
      </c>
    </row>
    <row r="32" spans="1:7" x14ac:dyDescent="0.25">
      <c r="A32" s="21" t="s">
        <v>108</v>
      </c>
      <c r="B32" s="21" t="s">
        <v>18</v>
      </c>
      <c r="C32" s="21">
        <v>1</v>
      </c>
      <c r="D32" s="51">
        <v>12000</v>
      </c>
      <c r="E32" s="51">
        <v>12000</v>
      </c>
      <c r="F32" s="21" t="s">
        <v>107</v>
      </c>
      <c r="G32" s="21" t="s">
        <v>69</v>
      </c>
    </row>
    <row r="33" spans="1:7" x14ac:dyDescent="0.25">
      <c r="A33" s="21" t="s">
        <v>108</v>
      </c>
      <c r="B33" s="21" t="s">
        <v>18</v>
      </c>
      <c r="C33" s="21">
        <v>1</v>
      </c>
      <c r="D33" s="51">
        <v>12000</v>
      </c>
      <c r="E33" s="51">
        <v>12000</v>
      </c>
      <c r="F33" s="21" t="s">
        <v>109</v>
      </c>
      <c r="G33" s="21" t="s">
        <v>69</v>
      </c>
    </row>
    <row r="35" spans="1:7" ht="18" x14ac:dyDescent="0.35">
      <c r="A35" s="50" t="s">
        <v>140</v>
      </c>
      <c r="B35" s="50"/>
      <c r="C35" s="50"/>
      <c r="D35" s="50"/>
    </row>
    <row r="36" spans="1:7" ht="14.4" x14ac:dyDescent="0.25">
      <c r="A36" s="40" t="s">
        <v>75</v>
      </c>
      <c r="B36" s="40" t="s">
        <v>66</v>
      </c>
      <c r="C36" s="40" t="s">
        <v>76</v>
      </c>
      <c r="D36" s="40" t="s">
        <v>80</v>
      </c>
    </row>
    <row r="37" spans="1:7" x14ac:dyDescent="0.25">
      <c r="A37" s="21" t="s">
        <v>108</v>
      </c>
      <c r="B37" s="21" t="s">
        <v>18</v>
      </c>
      <c r="C37" s="21">
        <v>2</v>
      </c>
      <c r="D37" s="21" t="s">
        <v>141</v>
      </c>
    </row>
    <row r="39" spans="1:7" ht="18" x14ac:dyDescent="0.35">
      <c r="A39" s="50" t="s">
        <v>67</v>
      </c>
      <c r="B39" s="50"/>
      <c r="C39" s="50"/>
      <c r="D39" s="50"/>
    </row>
    <row r="40" spans="1:7" ht="14.4" x14ac:dyDescent="0.25">
      <c r="A40" s="40" t="s">
        <v>75</v>
      </c>
      <c r="B40" s="40" t="s">
        <v>66</v>
      </c>
      <c r="C40" s="40" t="s">
        <v>76</v>
      </c>
      <c r="D40" s="40" t="s">
        <v>146</v>
      </c>
    </row>
    <row r="41" spans="1:7" x14ac:dyDescent="0.25">
      <c r="A41" s="21" t="s">
        <v>147</v>
      </c>
      <c r="B41" s="21" t="s">
        <v>23</v>
      </c>
      <c r="C41" s="21">
        <v>240</v>
      </c>
      <c r="D41" s="21" t="s">
        <v>68</v>
      </c>
    </row>
    <row r="42" spans="1:7" x14ac:dyDescent="0.25">
      <c r="A42" s="21" t="s">
        <v>147</v>
      </c>
      <c r="B42" s="21" t="s">
        <v>18</v>
      </c>
      <c r="C42" s="21">
        <v>440</v>
      </c>
      <c r="D42" s="21" t="s">
        <v>68</v>
      </c>
    </row>
    <row r="43" spans="1:7" x14ac:dyDescent="0.25">
      <c r="A43" s="21" t="s">
        <v>147</v>
      </c>
      <c r="B43" s="21" t="s">
        <v>16</v>
      </c>
      <c r="C43" s="21">
        <v>24</v>
      </c>
      <c r="D43" s="21" t="s">
        <v>68</v>
      </c>
    </row>
    <row r="44" spans="1:7" x14ac:dyDescent="0.25">
      <c r="A44" s="21" t="s">
        <v>148</v>
      </c>
      <c r="B44" s="21" t="s">
        <v>24</v>
      </c>
      <c r="C44" s="21">
        <v>24</v>
      </c>
      <c r="D44" s="21" t="s">
        <v>68</v>
      </c>
    </row>
    <row r="45" spans="1:7" x14ac:dyDescent="0.25">
      <c r="A45" s="21" t="s">
        <v>148</v>
      </c>
      <c r="B45" s="21" t="s">
        <v>15</v>
      </c>
      <c r="C45" s="21">
        <v>24</v>
      </c>
      <c r="D45" s="21" t="s">
        <v>68</v>
      </c>
    </row>
    <row r="46" spans="1:7" x14ac:dyDescent="0.25">
      <c r="A46" s="21" t="s">
        <v>148</v>
      </c>
      <c r="B46" s="21" t="s">
        <v>20</v>
      </c>
      <c r="C46" s="21">
        <v>12</v>
      </c>
      <c r="D46" s="21" t="s">
        <v>68</v>
      </c>
    </row>
    <row r="47" spans="1:7" x14ac:dyDescent="0.25">
      <c r="A47" s="21" t="s">
        <v>148</v>
      </c>
      <c r="B47" s="21" t="s">
        <v>64</v>
      </c>
      <c r="C47" s="21">
        <v>48</v>
      </c>
      <c r="D47" s="21" t="s">
        <v>68</v>
      </c>
    </row>
    <row r="48" spans="1:7" x14ac:dyDescent="0.25">
      <c r="A48" s="21" t="s">
        <v>148</v>
      </c>
      <c r="B48" s="21" t="s">
        <v>27</v>
      </c>
      <c r="C48" s="21">
        <v>240</v>
      </c>
      <c r="D48" s="21" t="s">
        <v>68</v>
      </c>
    </row>
    <row r="49" spans="1:4" x14ac:dyDescent="0.25">
      <c r="A49" s="21" t="s">
        <v>149</v>
      </c>
      <c r="B49" s="21" t="s">
        <v>28</v>
      </c>
      <c r="C49" s="21">
        <v>96</v>
      </c>
      <c r="D49" s="21" t="s">
        <v>68</v>
      </c>
    </row>
    <row r="50" spans="1:4" x14ac:dyDescent="0.25">
      <c r="A50" s="21" t="s">
        <v>149</v>
      </c>
      <c r="B50" s="21" t="s">
        <v>30</v>
      </c>
      <c r="C50" s="21">
        <v>24</v>
      </c>
      <c r="D50" s="21" t="s">
        <v>68</v>
      </c>
    </row>
    <row r="51" spans="1:4" x14ac:dyDescent="0.25">
      <c r="A51" s="21" t="s">
        <v>149</v>
      </c>
      <c r="B51" s="21" t="s">
        <v>56</v>
      </c>
      <c r="C51" s="21">
        <v>4</v>
      </c>
      <c r="D51" s="21" t="s">
        <v>68</v>
      </c>
    </row>
    <row r="52" spans="1:4" x14ac:dyDescent="0.25">
      <c r="A52" s="21" t="s">
        <v>149</v>
      </c>
      <c r="B52" s="21" t="s">
        <v>55</v>
      </c>
      <c r="C52" s="21">
        <v>8</v>
      </c>
      <c r="D52" s="21" t="s">
        <v>68</v>
      </c>
    </row>
    <row r="53" spans="1:4" x14ac:dyDescent="0.25">
      <c r="A53" s="21" t="s">
        <v>150</v>
      </c>
      <c r="B53" s="21" t="s">
        <v>60</v>
      </c>
      <c r="C53" s="21">
        <v>4</v>
      </c>
      <c r="D53" s="21" t="s">
        <v>68</v>
      </c>
    </row>
    <row r="54" spans="1:4" x14ac:dyDescent="0.25">
      <c r="A54" s="21" t="s">
        <v>150</v>
      </c>
      <c r="B54" s="21" t="s">
        <v>10</v>
      </c>
      <c r="C54" s="21">
        <v>4</v>
      </c>
      <c r="D54" s="21" t="s">
        <v>68</v>
      </c>
    </row>
    <row r="55" spans="1:4" x14ac:dyDescent="0.25">
      <c r="A55" s="21" t="s">
        <v>150</v>
      </c>
      <c r="B55" s="21" t="s">
        <v>11</v>
      </c>
      <c r="C55" s="21">
        <v>2</v>
      </c>
      <c r="D55" s="21" t="s">
        <v>68</v>
      </c>
    </row>
    <row r="56" spans="1:4" x14ac:dyDescent="0.25">
      <c r="A56" s="21" t="s">
        <v>150</v>
      </c>
      <c r="B56" s="21" t="s">
        <v>12</v>
      </c>
      <c r="C56" s="21">
        <v>2</v>
      </c>
      <c r="D56" s="21" t="s">
        <v>68</v>
      </c>
    </row>
    <row r="57" spans="1:4" x14ac:dyDescent="0.25">
      <c r="A57" s="21" t="s">
        <v>150</v>
      </c>
      <c r="B57" s="21" t="s">
        <v>59</v>
      </c>
      <c r="C57" s="21">
        <v>5</v>
      </c>
      <c r="D57" s="21" t="s">
        <v>68</v>
      </c>
    </row>
    <row r="58" spans="1:4" x14ac:dyDescent="0.25">
      <c r="A58" s="21" t="s">
        <v>150</v>
      </c>
      <c r="B58" s="21" t="s">
        <v>53</v>
      </c>
      <c r="C58" s="21">
        <v>4</v>
      </c>
      <c r="D58" s="21" t="s">
        <v>68</v>
      </c>
    </row>
    <row r="59" spans="1:4" x14ac:dyDescent="0.25">
      <c r="A59" s="21" t="s">
        <v>151</v>
      </c>
      <c r="B59" s="21" t="s">
        <v>41</v>
      </c>
      <c r="C59" s="21">
        <v>5</v>
      </c>
      <c r="D59" s="21" t="s">
        <v>68</v>
      </c>
    </row>
    <row r="60" spans="1:4" x14ac:dyDescent="0.25">
      <c r="A60" s="21" t="s">
        <v>151</v>
      </c>
      <c r="B60" s="21" t="s">
        <v>42</v>
      </c>
      <c r="C60" s="21">
        <v>15</v>
      </c>
      <c r="D60" s="21" t="s">
        <v>68</v>
      </c>
    </row>
    <row r="61" spans="1:4" x14ac:dyDescent="0.25">
      <c r="A61" s="21" t="s">
        <v>151</v>
      </c>
      <c r="B61" s="21" t="s">
        <v>61</v>
      </c>
      <c r="C61" s="21">
        <v>1</v>
      </c>
      <c r="D61" s="21" t="s">
        <v>68</v>
      </c>
    </row>
    <row r="62" spans="1:4" x14ac:dyDescent="0.25">
      <c r="A62" s="21" t="s">
        <v>151</v>
      </c>
      <c r="B62" s="21" t="s">
        <v>57</v>
      </c>
      <c r="C62" s="21">
        <v>5</v>
      </c>
      <c r="D62" s="21" t="s">
        <v>68</v>
      </c>
    </row>
    <row r="63" spans="1:4" x14ac:dyDescent="0.25">
      <c r="A63" s="21" t="s">
        <v>151</v>
      </c>
      <c r="B63" s="21" t="s">
        <v>62</v>
      </c>
      <c r="C63" s="21">
        <v>8</v>
      </c>
      <c r="D63" s="21" t="s">
        <v>68</v>
      </c>
    </row>
    <row r="64" spans="1:4" x14ac:dyDescent="0.25">
      <c r="A64" s="21" t="s">
        <v>151</v>
      </c>
      <c r="B64" s="21" t="s">
        <v>54</v>
      </c>
      <c r="C64" s="21">
        <v>12</v>
      </c>
      <c r="D64" s="21" t="s">
        <v>68</v>
      </c>
    </row>
    <row r="65" spans="1:4" x14ac:dyDescent="0.25">
      <c r="A65" s="21" t="s">
        <v>152</v>
      </c>
      <c r="B65" s="21" t="s">
        <v>58</v>
      </c>
      <c r="C65" s="21">
        <v>6</v>
      </c>
      <c r="D65" s="21" t="s">
        <v>68</v>
      </c>
    </row>
    <row r="66" spans="1:4" x14ac:dyDescent="0.25">
      <c r="A66" s="21" t="s">
        <v>152</v>
      </c>
      <c r="B66" s="21" t="s">
        <v>63</v>
      </c>
      <c r="C66" s="21">
        <v>18</v>
      </c>
      <c r="D66" s="21" t="s">
        <v>68</v>
      </c>
    </row>
    <row r="67" spans="1:4" x14ac:dyDescent="0.25">
      <c r="A67" s="21" t="s">
        <v>152</v>
      </c>
      <c r="B67" s="21" t="s">
        <v>50</v>
      </c>
      <c r="C67" s="21">
        <v>48</v>
      </c>
      <c r="D67" s="21" t="s">
        <v>68</v>
      </c>
    </row>
    <row r="68" spans="1:4" x14ac:dyDescent="0.25">
      <c r="A68" s="21" t="s">
        <v>152</v>
      </c>
      <c r="B68" s="21" t="s">
        <v>65</v>
      </c>
      <c r="C68" s="21">
        <v>20</v>
      </c>
      <c r="D68" s="21" t="s">
        <v>68</v>
      </c>
    </row>
    <row r="69" spans="1:4" x14ac:dyDescent="0.25">
      <c r="A69" s="21" t="s">
        <v>153</v>
      </c>
      <c r="B69" s="21" t="s">
        <v>65</v>
      </c>
      <c r="C69" s="21">
        <v>20</v>
      </c>
      <c r="D69" s="21" t="s">
        <v>68</v>
      </c>
    </row>
    <row r="70" spans="1:4" x14ac:dyDescent="0.25">
      <c r="A70" s="21" t="s">
        <v>153</v>
      </c>
      <c r="B70" s="21" t="s">
        <v>58</v>
      </c>
      <c r="C70" s="21">
        <v>6</v>
      </c>
      <c r="D70" s="21" t="s">
        <v>68</v>
      </c>
    </row>
    <row r="71" spans="1:4" x14ac:dyDescent="0.25">
      <c r="A71" s="21" t="s">
        <v>153</v>
      </c>
      <c r="B71" s="21" t="s">
        <v>23</v>
      </c>
      <c r="C71" s="21">
        <v>72</v>
      </c>
      <c r="D71" s="21" t="s">
        <v>68</v>
      </c>
    </row>
    <row r="72" spans="1:4" x14ac:dyDescent="0.25">
      <c r="A72" s="21" t="s">
        <v>153</v>
      </c>
      <c r="B72" s="21" t="s">
        <v>18</v>
      </c>
      <c r="C72" s="21">
        <v>140</v>
      </c>
      <c r="D72" s="21" t="s">
        <v>68</v>
      </c>
    </row>
    <row r="73" spans="1:4" x14ac:dyDescent="0.25">
      <c r="A73" s="21" t="s">
        <v>154</v>
      </c>
      <c r="B73" s="21" t="s">
        <v>50</v>
      </c>
      <c r="C73" s="21">
        <v>72</v>
      </c>
      <c r="D73" s="21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A3E8-7A62-4855-A1A5-686B49F1472D}">
  <sheetPr>
    <outlinePr summaryBelow="0" summaryRight="0"/>
    <pageSetUpPr fitToPage="1"/>
  </sheetPr>
  <dimension ref="A1:N58"/>
  <sheetViews>
    <sheetView topLeftCell="B3" zoomScale="54" zoomScaleNormal="70" workbookViewId="0">
      <selection activeCell="O10" sqref="O10"/>
    </sheetView>
  </sheetViews>
  <sheetFormatPr baseColWidth="10" defaultColWidth="12.6640625" defaultRowHeight="15.75" customHeight="1" x14ac:dyDescent="0.25"/>
  <cols>
    <col min="1" max="1" width="51.77734375" customWidth="1"/>
    <col min="10" max="10" width="33" customWidth="1"/>
    <col min="12" max="12" width="39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71"/>
      <c r="M1" s="71"/>
      <c r="N1" s="39"/>
    </row>
    <row r="2" spans="1:14" ht="15.75" customHeight="1" x14ac:dyDescent="0.3">
      <c r="A2" s="2" t="s">
        <v>52</v>
      </c>
      <c r="B2" s="3"/>
      <c r="C2" s="3"/>
      <c r="D2" s="3"/>
      <c r="E2" s="3"/>
      <c r="F2" s="3"/>
      <c r="G2" s="3"/>
      <c r="H2" s="3"/>
      <c r="I2" s="3"/>
      <c r="J2" s="3"/>
      <c r="L2" s="72"/>
      <c r="M2" s="72"/>
      <c r="N2" s="39"/>
    </row>
    <row r="3" spans="1:14" ht="15.75" customHeight="1" x14ac:dyDescent="0.3">
      <c r="A3" s="5" t="s">
        <v>19</v>
      </c>
      <c r="B3" s="21">
        <v>18000</v>
      </c>
      <c r="C3" s="12">
        <v>18000</v>
      </c>
      <c r="D3" s="22">
        <v>72</v>
      </c>
      <c r="E3" s="29"/>
      <c r="F3" s="29">
        <v>10</v>
      </c>
      <c r="G3" s="29"/>
      <c r="H3" s="29">
        <v>14</v>
      </c>
      <c r="I3" s="11">
        <f>(D3+E3-G3-H3-F3)</f>
        <v>48</v>
      </c>
      <c r="J3" s="12">
        <f t="shared" ref="J3:J42" si="0">I3*C3</f>
        <v>864000</v>
      </c>
      <c r="L3" s="69"/>
      <c r="M3" s="69"/>
      <c r="N3" s="38"/>
    </row>
    <row r="4" spans="1:14" ht="15.75" customHeight="1" x14ac:dyDescent="0.3">
      <c r="A4" s="5" t="s">
        <v>23</v>
      </c>
      <c r="B4" s="11"/>
      <c r="C4" s="12">
        <v>16000</v>
      </c>
      <c r="D4" s="22">
        <v>240</v>
      </c>
      <c r="E4" s="29">
        <v>60</v>
      </c>
      <c r="F4" s="29"/>
      <c r="G4" s="29"/>
      <c r="H4" s="29">
        <v>0</v>
      </c>
      <c r="I4" s="11">
        <f t="shared" ref="I4:I42" si="1">(D4+E4-G4-H4-F4)</f>
        <v>300</v>
      </c>
      <c r="J4" s="12">
        <f t="shared" si="0"/>
        <v>4800000</v>
      </c>
      <c r="L4" s="69"/>
      <c r="M4" s="69"/>
      <c r="N4" s="38"/>
    </row>
    <row r="5" spans="1:14" ht="15.75" customHeight="1" x14ac:dyDescent="0.3">
      <c r="A5" s="5" t="s">
        <v>18</v>
      </c>
      <c r="B5" s="11"/>
      <c r="C5" s="12">
        <v>12000</v>
      </c>
      <c r="D5" s="22">
        <f>440+80</f>
        <v>520</v>
      </c>
      <c r="E5" s="29">
        <v>100</v>
      </c>
      <c r="F5" s="29">
        <v>1</v>
      </c>
      <c r="G5" s="29">
        <v>2</v>
      </c>
      <c r="H5" s="29">
        <v>0</v>
      </c>
      <c r="I5" s="11">
        <f t="shared" si="1"/>
        <v>617</v>
      </c>
      <c r="J5" s="12">
        <f t="shared" si="0"/>
        <v>7404000</v>
      </c>
      <c r="L5" s="69"/>
      <c r="M5" s="69"/>
      <c r="N5" s="38"/>
    </row>
    <row r="6" spans="1:14" ht="15.75" customHeight="1" x14ac:dyDescent="0.3">
      <c r="A6" s="5" t="s">
        <v>16</v>
      </c>
      <c r="B6" s="11"/>
      <c r="C6" s="12">
        <v>12000</v>
      </c>
      <c r="D6" s="22">
        <v>24</v>
      </c>
      <c r="E6" s="29"/>
      <c r="F6" s="29"/>
      <c r="G6" s="29"/>
      <c r="H6" s="29">
        <v>24</v>
      </c>
      <c r="I6" s="11">
        <f t="shared" si="1"/>
        <v>0</v>
      </c>
      <c r="J6" s="12">
        <f t="shared" si="0"/>
        <v>0</v>
      </c>
      <c r="L6" s="69"/>
      <c r="M6" s="69"/>
      <c r="N6" s="38"/>
    </row>
    <row r="7" spans="1:14" ht="15.75" customHeight="1" x14ac:dyDescent="0.3">
      <c r="A7" s="5" t="s">
        <v>24</v>
      </c>
      <c r="B7" s="11"/>
      <c r="C7" s="12">
        <v>12000</v>
      </c>
      <c r="D7" s="22">
        <v>24</v>
      </c>
      <c r="E7" s="29"/>
      <c r="F7" s="29"/>
      <c r="G7" s="29"/>
      <c r="H7" s="29">
        <v>23</v>
      </c>
      <c r="I7" s="11">
        <f t="shared" si="1"/>
        <v>1</v>
      </c>
      <c r="J7" s="12">
        <f t="shared" si="0"/>
        <v>12000</v>
      </c>
      <c r="L7" s="69"/>
      <c r="M7" s="69"/>
      <c r="N7" s="38"/>
    </row>
    <row r="8" spans="1:14" ht="15.75" customHeight="1" x14ac:dyDescent="0.3">
      <c r="A8" s="5" t="s">
        <v>15</v>
      </c>
      <c r="B8" s="11"/>
      <c r="C8" s="12">
        <v>12000</v>
      </c>
      <c r="D8" s="22">
        <v>24</v>
      </c>
      <c r="E8" s="29"/>
      <c r="F8" s="29"/>
      <c r="G8" s="29"/>
      <c r="H8" s="29">
        <v>10</v>
      </c>
      <c r="I8" s="11">
        <f t="shared" si="1"/>
        <v>14</v>
      </c>
      <c r="J8" s="12">
        <f t="shared" si="0"/>
        <v>168000</v>
      </c>
      <c r="L8" s="69"/>
      <c r="M8" s="69"/>
      <c r="N8" s="38"/>
    </row>
    <row r="9" spans="1:14" ht="15.75" customHeight="1" x14ac:dyDescent="0.3">
      <c r="A9" s="5" t="s">
        <v>20</v>
      </c>
      <c r="B9" s="11"/>
      <c r="C9" s="12">
        <v>12000</v>
      </c>
      <c r="D9" s="22">
        <v>12</v>
      </c>
      <c r="E9" s="29"/>
      <c r="F9" s="29">
        <v>2</v>
      </c>
      <c r="G9" s="29"/>
      <c r="H9" s="29">
        <v>3</v>
      </c>
      <c r="I9" s="11">
        <f t="shared" si="1"/>
        <v>7</v>
      </c>
      <c r="J9" s="12">
        <f t="shared" si="0"/>
        <v>84000</v>
      </c>
      <c r="L9" s="69"/>
      <c r="M9" s="69"/>
      <c r="N9" s="38"/>
    </row>
    <row r="10" spans="1:14" ht="15.75" customHeight="1" x14ac:dyDescent="0.3">
      <c r="A10" s="5" t="s">
        <v>17</v>
      </c>
      <c r="B10" s="11"/>
      <c r="C10" s="12">
        <v>12000</v>
      </c>
      <c r="D10" s="22">
        <v>0</v>
      </c>
      <c r="E10" s="29"/>
      <c r="F10" s="29"/>
      <c r="G10" s="29"/>
      <c r="H10" s="29">
        <v>0</v>
      </c>
      <c r="I10" s="11">
        <f t="shared" si="1"/>
        <v>0</v>
      </c>
      <c r="J10" s="12">
        <f t="shared" si="0"/>
        <v>0</v>
      </c>
      <c r="L10" s="69"/>
      <c r="M10" s="69"/>
      <c r="N10" s="38"/>
    </row>
    <row r="11" spans="1:14" ht="15.75" customHeight="1" x14ac:dyDescent="0.3">
      <c r="A11" s="5" t="s">
        <v>25</v>
      </c>
      <c r="B11" s="13"/>
      <c r="C11" s="14">
        <v>25000</v>
      </c>
      <c r="D11" s="22">
        <v>48</v>
      </c>
      <c r="E11" s="28"/>
      <c r="F11" s="28"/>
      <c r="G11" s="32"/>
      <c r="H11" s="32">
        <v>0</v>
      </c>
      <c r="I11" s="11">
        <f t="shared" si="1"/>
        <v>48</v>
      </c>
      <c r="J11" s="12">
        <f t="shared" si="0"/>
        <v>1200000</v>
      </c>
      <c r="L11" s="69"/>
      <c r="M11" s="69"/>
      <c r="N11" s="39"/>
    </row>
    <row r="12" spans="1:14" ht="15.75" customHeight="1" x14ac:dyDescent="0.3">
      <c r="A12" s="6" t="s">
        <v>26</v>
      </c>
      <c r="B12" s="16"/>
      <c r="C12" s="17"/>
      <c r="D12" s="23"/>
      <c r="E12" s="35"/>
      <c r="F12" s="35"/>
      <c r="G12" s="33"/>
      <c r="H12" s="33"/>
      <c r="I12" s="18"/>
      <c r="J12" s="18"/>
      <c r="L12" s="69"/>
      <c r="M12" s="69"/>
      <c r="N12" s="39"/>
    </row>
    <row r="13" spans="1:14" ht="15.75" customHeight="1" x14ac:dyDescent="0.3">
      <c r="A13" s="5" t="s">
        <v>27</v>
      </c>
      <c r="B13" s="11"/>
      <c r="C13" s="12">
        <v>13000</v>
      </c>
      <c r="D13" s="22">
        <v>240</v>
      </c>
      <c r="E13" s="29"/>
      <c r="F13" s="29"/>
      <c r="G13" s="29">
        <v>2</v>
      </c>
      <c r="H13" s="29">
        <v>84</v>
      </c>
      <c r="I13" s="11">
        <f t="shared" si="1"/>
        <v>154</v>
      </c>
      <c r="J13" s="12">
        <f t="shared" si="0"/>
        <v>2002000</v>
      </c>
      <c r="L13" s="69"/>
      <c r="M13" s="69"/>
      <c r="N13" s="39"/>
    </row>
    <row r="14" spans="1:14" ht="15.75" customHeight="1" x14ac:dyDescent="0.3">
      <c r="A14" s="5" t="s">
        <v>28</v>
      </c>
      <c r="B14" s="13"/>
      <c r="C14" s="14">
        <v>16000</v>
      </c>
      <c r="D14" s="22">
        <v>96</v>
      </c>
      <c r="E14" s="28">
        <v>48</v>
      </c>
      <c r="F14" s="28">
        <v>1</v>
      </c>
      <c r="G14" s="32"/>
      <c r="H14" s="32">
        <v>46</v>
      </c>
      <c r="I14" s="11">
        <f t="shared" si="1"/>
        <v>97</v>
      </c>
      <c r="J14" s="12">
        <f t="shared" si="0"/>
        <v>1552000</v>
      </c>
      <c r="L14" s="69"/>
      <c r="M14" s="69"/>
      <c r="N14" s="39"/>
    </row>
    <row r="15" spans="1:14" ht="15.75" customHeight="1" x14ac:dyDescent="0.3">
      <c r="A15" s="6" t="s">
        <v>29</v>
      </c>
      <c r="B15" s="16"/>
      <c r="C15" s="17"/>
      <c r="D15" s="23"/>
      <c r="E15" s="35"/>
      <c r="F15" s="35"/>
      <c r="G15" s="33"/>
      <c r="H15" s="33"/>
      <c r="I15" s="18"/>
      <c r="J15" s="18"/>
      <c r="L15" s="69"/>
      <c r="M15" s="69"/>
      <c r="N15" s="39"/>
    </row>
    <row r="16" spans="1:14" ht="15.75" customHeight="1" x14ac:dyDescent="0.3">
      <c r="A16" s="5" t="s">
        <v>30</v>
      </c>
      <c r="B16" s="13"/>
      <c r="C16" s="14">
        <v>25000</v>
      </c>
      <c r="D16" s="22">
        <v>24</v>
      </c>
      <c r="E16" s="28"/>
      <c r="F16" s="28"/>
      <c r="G16" s="32"/>
      <c r="H16" s="32">
        <v>19</v>
      </c>
      <c r="I16" s="11">
        <f t="shared" si="1"/>
        <v>5</v>
      </c>
      <c r="J16" s="12">
        <f t="shared" si="0"/>
        <v>125000</v>
      </c>
      <c r="L16" s="69"/>
      <c r="M16" s="69"/>
      <c r="N16" s="39"/>
    </row>
    <row r="17" spans="1:14" ht="15.75" customHeight="1" x14ac:dyDescent="0.3">
      <c r="A17" s="6" t="s">
        <v>31</v>
      </c>
      <c r="B17" s="16"/>
      <c r="C17" s="17"/>
      <c r="D17" s="23"/>
      <c r="E17" s="35"/>
      <c r="F17" s="35"/>
      <c r="G17" s="33"/>
      <c r="H17" s="33"/>
      <c r="I17" s="18"/>
      <c r="J17" s="18"/>
      <c r="L17" s="69"/>
      <c r="M17" s="69"/>
      <c r="N17" s="39"/>
    </row>
    <row r="18" spans="1:14" ht="15.75" customHeight="1" x14ac:dyDescent="0.3">
      <c r="A18" s="5" t="s">
        <v>32</v>
      </c>
      <c r="B18" s="11"/>
      <c r="C18" s="12">
        <v>400000</v>
      </c>
      <c r="D18" s="22">
        <v>4</v>
      </c>
      <c r="E18" s="29"/>
      <c r="F18" s="29"/>
      <c r="G18" s="29"/>
      <c r="H18" s="29">
        <v>4</v>
      </c>
      <c r="I18" s="11">
        <f t="shared" si="1"/>
        <v>0</v>
      </c>
      <c r="J18" s="12">
        <f t="shared" si="0"/>
        <v>0</v>
      </c>
      <c r="L18" s="69"/>
      <c r="M18" s="69"/>
      <c r="N18" s="39"/>
    </row>
    <row r="19" spans="1:14" ht="15.75" customHeight="1" x14ac:dyDescent="0.3">
      <c r="A19" s="5" t="s">
        <v>33</v>
      </c>
      <c r="B19" s="11"/>
      <c r="C19" s="12">
        <v>360000</v>
      </c>
      <c r="D19" s="22">
        <v>8</v>
      </c>
      <c r="E19" s="29"/>
      <c r="F19" s="29"/>
      <c r="G19" s="29"/>
      <c r="H19" s="29">
        <v>7</v>
      </c>
      <c r="I19" s="11">
        <f t="shared" si="1"/>
        <v>1</v>
      </c>
      <c r="J19" s="12">
        <f t="shared" si="0"/>
        <v>360000</v>
      </c>
      <c r="L19" s="69"/>
      <c r="M19" s="69"/>
      <c r="N19" s="39"/>
    </row>
    <row r="20" spans="1:14" ht="15.75" customHeight="1" x14ac:dyDescent="0.3">
      <c r="A20" s="5" t="s">
        <v>34</v>
      </c>
      <c r="B20" s="13"/>
      <c r="C20" s="14">
        <v>260000</v>
      </c>
      <c r="D20" s="30">
        <v>4</v>
      </c>
      <c r="E20" s="28"/>
      <c r="F20" s="28"/>
      <c r="G20" s="32"/>
      <c r="H20" s="32">
        <v>2</v>
      </c>
      <c r="I20" s="11">
        <f>(D20+E20-G20-H20-F20)</f>
        <v>2</v>
      </c>
      <c r="J20" s="12">
        <f t="shared" si="0"/>
        <v>520000</v>
      </c>
      <c r="L20" s="69"/>
      <c r="M20" s="69"/>
      <c r="N20" s="39"/>
    </row>
    <row r="21" spans="1:14" ht="15.75" customHeight="1" x14ac:dyDescent="0.3">
      <c r="A21" s="6" t="s">
        <v>35</v>
      </c>
      <c r="B21" s="16"/>
      <c r="C21" s="17"/>
      <c r="D21" s="23"/>
      <c r="E21" s="35"/>
      <c r="F21" s="35"/>
      <c r="G21" s="33"/>
      <c r="H21" s="33"/>
      <c r="I21" s="18"/>
      <c r="J21" s="18"/>
      <c r="L21" s="69"/>
      <c r="M21" s="69"/>
      <c r="N21" s="39"/>
    </row>
    <row r="22" spans="1:14" ht="15.75" customHeight="1" x14ac:dyDescent="0.3">
      <c r="A22" s="5" t="s">
        <v>36</v>
      </c>
      <c r="B22" s="11"/>
      <c r="C22" s="12">
        <v>260000</v>
      </c>
      <c r="D22" s="22"/>
      <c r="E22" s="29"/>
      <c r="F22" s="29"/>
      <c r="G22" s="29"/>
      <c r="H22" s="29"/>
      <c r="I22" s="11">
        <f t="shared" si="1"/>
        <v>0</v>
      </c>
      <c r="J22" s="12">
        <f t="shared" si="0"/>
        <v>0</v>
      </c>
      <c r="L22" s="69"/>
      <c r="M22" s="69"/>
      <c r="N22" s="39"/>
    </row>
    <row r="23" spans="1:14" ht="15.75" customHeight="1" x14ac:dyDescent="0.3">
      <c r="A23" s="5" t="s">
        <v>37</v>
      </c>
      <c r="B23" s="13"/>
      <c r="C23" s="14">
        <v>160000</v>
      </c>
      <c r="D23" s="22">
        <v>4</v>
      </c>
      <c r="E23" s="28"/>
      <c r="F23" s="28"/>
      <c r="G23" s="32"/>
      <c r="H23" s="32">
        <v>4</v>
      </c>
      <c r="I23" s="11">
        <f t="shared" si="1"/>
        <v>0</v>
      </c>
      <c r="J23" s="12">
        <f t="shared" si="0"/>
        <v>0</v>
      </c>
      <c r="L23" s="72"/>
      <c r="M23" s="72"/>
      <c r="N23" s="39"/>
    </row>
    <row r="24" spans="1:14" ht="15.75" customHeight="1" x14ac:dyDescent="0.3">
      <c r="A24" s="6" t="s">
        <v>38</v>
      </c>
      <c r="B24" s="16"/>
      <c r="C24" s="17"/>
      <c r="D24" s="23"/>
      <c r="E24" s="35"/>
      <c r="F24" s="35"/>
      <c r="G24" s="33"/>
      <c r="H24" s="33"/>
      <c r="I24" s="18"/>
      <c r="J24" s="18"/>
      <c r="L24" s="69"/>
      <c r="M24" s="69"/>
      <c r="N24" s="39"/>
    </row>
    <row r="25" spans="1:14" ht="15.75" customHeight="1" x14ac:dyDescent="0.3">
      <c r="A25" s="5" t="s">
        <v>11</v>
      </c>
      <c r="B25" s="11"/>
      <c r="C25" s="12">
        <v>800000</v>
      </c>
      <c r="D25" s="22">
        <v>2</v>
      </c>
      <c r="E25" s="29"/>
      <c r="F25" s="29"/>
      <c r="G25" s="29"/>
      <c r="H25" s="29">
        <v>2</v>
      </c>
      <c r="I25" s="11">
        <f t="shared" si="1"/>
        <v>0</v>
      </c>
      <c r="J25" s="12">
        <f t="shared" si="0"/>
        <v>0</v>
      </c>
      <c r="L25" s="69"/>
      <c r="M25" s="69"/>
      <c r="N25" s="39"/>
    </row>
    <row r="26" spans="1:14" ht="15.75" customHeight="1" x14ac:dyDescent="0.3">
      <c r="A26" s="5" t="s">
        <v>12</v>
      </c>
      <c r="B26" s="11"/>
      <c r="C26" s="12">
        <v>460000</v>
      </c>
      <c r="D26" s="22">
        <v>2</v>
      </c>
      <c r="E26" s="29"/>
      <c r="F26" s="29"/>
      <c r="G26" s="29"/>
      <c r="H26" s="29">
        <v>2</v>
      </c>
      <c r="I26" s="11">
        <f t="shared" si="1"/>
        <v>0</v>
      </c>
      <c r="J26" s="12">
        <f t="shared" si="0"/>
        <v>0</v>
      </c>
      <c r="L26" s="72"/>
      <c r="M26" s="72"/>
      <c r="N26" s="39"/>
    </row>
    <row r="27" spans="1:14" ht="15.75" customHeight="1" x14ac:dyDescent="0.3">
      <c r="A27" s="5" t="s">
        <v>39</v>
      </c>
      <c r="B27" s="13"/>
      <c r="C27" s="14">
        <v>260000</v>
      </c>
      <c r="D27" s="22">
        <v>5</v>
      </c>
      <c r="E27" s="36"/>
      <c r="F27" s="36"/>
      <c r="G27" s="34"/>
      <c r="H27" s="34">
        <v>5</v>
      </c>
      <c r="I27" s="11">
        <f t="shared" si="1"/>
        <v>0</v>
      </c>
      <c r="J27" s="12">
        <f t="shared" si="0"/>
        <v>0</v>
      </c>
      <c r="L27" s="69"/>
      <c r="M27" s="69"/>
      <c r="N27" s="39"/>
    </row>
    <row r="28" spans="1:14" ht="15.75" customHeight="1" x14ac:dyDescent="0.3">
      <c r="A28" s="6" t="s">
        <v>40</v>
      </c>
      <c r="B28" s="16"/>
      <c r="C28" s="17"/>
      <c r="D28" s="23"/>
      <c r="E28" s="35"/>
      <c r="F28" s="35"/>
      <c r="G28" s="33"/>
      <c r="H28" s="33"/>
      <c r="I28" s="18"/>
      <c r="J28" s="18"/>
      <c r="L28" s="69"/>
      <c r="M28" s="69"/>
      <c r="N28" s="39"/>
    </row>
    <row r="29" spans="1:14" ht="15.75" customHeight="1" x14ac:dyDescent="0.3">
      <c r="A29" s="5" t="s">
        <v>14</v>
      </c>
      <c r="B29" s="11"/>
      <c r="C29" s="12">
        <v>350000</v>
      </c>
      <c r="D29" s="22">
        <v>4</v>
      </c>
      <c r="E29" s="29"/>
      <c r="F29" s="29"/>
      <c r="G29" s="29"/>
      <c r="H29" s="29">
        <v>4</v>
      </c>
      <c r="I29" s="11">
        <f t="shared" si="1"/>
        <v>0</v>
      </c>
      <c r="J29" s="12">
        <f t="shared" si="0"/>
        <v>0</v>
      </c>
      <c r="L29" s="72"/>
      <c r="M29" s="72"/>
      <c r="N29" s="39"/>
    </row>
    <row r="30" spans="1:14" ht="15.6" x14ac:dyDescent="0.3">
      <c r="A30" s="5" t="s">
        <v>41</v>
      </c>
      <c r="B30" s="11"/>
      <c r="C30" s="12">
        <v>160000</v>
      </c>
      <c r="D30" s="22">
        <v>5</v>
      </c>
      <c r="E30" s="29"/>
      <c r="F30" s="29"/>
      <c r="G30" s="29"/>
      <c r="H30" s="29">
        <v>5</v>
      </c>
      <c r="I30" s="11">
        <f t="shared" si="1"/>
        <v>0</v>
      </c>
      <c r="J30" s="12">
        <f t="shared" si="0"/>
        <v>0</v>
      </c>
      <c r="L30" s="69"/>
      <c r="M30" s="69"/>
      <c r="N30" s="39"/>
    </row>
    <row r="31" spans="1:14" ht="15.6" x14ac:dyDescent="0.3">
      <c r="A31" s="5" t="s">
        <v>42</v>
      </c>
      <c r="B31" s="13"/>
      <c r="C31" s="14">
        <v>160000</v>
      </c>
      <c r="D31" s="22">
        <v>15</v>
      </c>
      <c r="E31" s="28"/>
      <c r="F31" s="28"/>
      <c r="G31" s="32"/>
      <c r="H31" s="32">
        <v>10</v>
      </c>
      <c r="I31" s="11">
        <f t="shared" si="1"/>
        <v>5</v>
      </c>
      <c r="J31" s="12">
        <f t="shared" si="0"/>
        <v>800000</v>
      </c>
      <c r="L31" s="69"/>
      <c r="M31" s="69"/>
      <c r="N31" s="39"/>
    </row>
    <row r="32" spans="1:14" ht="15.6" x14ac:dyDescent="0.3">
      <c r="A32" s="6" t="s">
        <v>43</v>
      </c>
      <c r="B32" s="16"/>
      <c r="C32" s="17"/>
      <c r="D32" s="23"/>
      <c r="E32" s="35"/>
      <c r="F32" s="35"/>
      <c r="G32" s="33"/>
      <c r="H32" s="33"/>
      <c r="I32" s="18"/>
      <c r="J32" s="18"/>
      <c r="L32" s="69"/>
      <c r="M32" s="69"/>
      <c r="N32" s="39"/>
    </row>
    <row r="33" spans="1:14" ht="15.6" x14ac:dyDescent="0.3">
      <c r="A33" s="5" t="s">
        <v>13</v>
      </c>
      <c r="B33" s="11"/>
      <c r="C33" s="12">
        <v>360000</v>
      </c>
      <c r="D33" s="22">
        <v>1</v>
      </c>
      <c r="E33" s="29"/>
      <c r="F33" s="29"/>
      <c r="G33" s="29"/>
      <c r="H33" s="29">
        <v>1</v>
      </c>
      <c r="I33" s="11">
        <f t="shared" si="1"/>
        <v>0</v>
      </c>
      <c r="J33" s="12">
        <f t="shared" si="0"/>
        <v>0</v>
      </c>
      <c r="L33" s="72"/>
      <c r="M33" s="72"/>
      <c r="N33" s="39"/>
    </row>
    <row r="34" spans="1:14" ht="15.6" x14ac:dyDescent="0.3">
      <c r="A34" s="5" t="s">
        <v>44</v>
      </c>
      <c r="B34" s="13"/>
      <c r="C34" s="14">
        <v>260000</v>
      </c>
      <c r="D34" s="22">
        <v>5</v>
      </c>
      <c r="E34" s="28"/>
      <c r="F34" s="28"/>
      <c r="G34" s="32"/>
      <c r="H34" s="32">
        <v>5</v>
      </c>
      <c r="I34" s="11">
        <f t="shared" si="1"/>
        <v>0</v>
      </c>
      <c r="J34" s="12">
        <f t="shared" si="0"/>
        <v>0</v>
      </c>
      <c r="L34" s="69"/>
      <c r="M34" s="69"/>
      <c r="N34" s="39"/>
    </row>
    <row r="35" spans="1:14" ht="15.6" x14ac:dyDescent="0.3">
      <c r="A35" s="7" t="s">
        <v>45</v>
      </c>
      <c r="B35" s="16"/>
      <c r="C35" s="17"/>
      <c r="D35" s="24"/>
      <c r="E35" s="35"/>
      <c r="F35" s="35"/>
      <c r="G35" s="33"/>
      <c r="H35" s="33"/>
      <c r="I35" s="18"/>
      <c r="J35" s="18"/>
      <c r="L35" s="69"/>
      <c r="M35" s="69"/>
      <c r="N35" s="39"/>
    </row>
    <row r="36" spans="1:14" ht="15.6" x14ac:dyDescent="0.3">
      <c r="A36" s="5" t="s">
        <v>46</v>
      </c>
      <c r="B36" s="11"/>
      <c r="C36" s="12">
        <v>180000</v>
      </c>
      <c r="D36" s="22">
        <v>8</v>
      </c>
      <c r="E36" s="29"/>
      <c r="F36" s="29"/>
      <c r="G36" s="29"/>
      <c r="H36" s="29">
        <v>6</v>
      </c>
      <c r="I36" s="11">
        <f t="shared" si="1"/>
        <v>2</v>
      </c>
      <c r="J36" s="12">
        <f t="shared" si="0"/>
        <v>360000</v>
      </c>
      <c r="L36" s="69"/>
      <c r="M36" s="69"/>
      <c r="N36" s="39"/>
    </row>
    <row r="37" spans="1:14" ht="15.6" x14ac:dyDescent="0.3">
      <c r="A37" s="5" t="s">
        <v>47</v>
      </c>
      <c r="B37" s="13"/>
      <c r="C37" s="14">
        <v>160000</v>
      </c>
      <c r="D37" s="22">
        <v>12</v>
      </c>
      <c r="E37" s="28"/>
      <c r="F37" s="28"/>
      <c r="G37" s="32"/>
      <c r="H37" s="32">
        <v>8</v>
      </c>
      <c r="I37" s="11">
        <f t="shared" si="1"/>
        <v>4</v>
      </c>
      <c r="J37" s="12">
        <f t="shared" si="0"/>
        <v>640000</v>
      </c>
      <c r="L37" s="69"/>
      <c r="M37" s="69"/>
      <c r="N37" s="39"/>
    </row>
    <row r="38" spans="1:14" ht="15.6" x14ac:dyDescent="0.3">
      <c r="A38" s="7" t="s">
        <v>48</v>
      </c>
      <c r="B38" s="16"/>
      <c r="C38" s="17"/>
      <c r="D38" s="24"/>
      <c r="E38" s="35"/>
      <c r="F38" s="35"/>
      <c r="G38" s="33"/>
      <c r="H38" s="33"/>
      <c r="I38" s="18"/>
      <c r="J38" s="18"/>
      <c r="L38" s="69"/>
      <c r="M38" s="69"/>
      <c r="N38" s="39"/>
    </row>
    <row r="39" spans="1:14" ht="15.6" x14ac:dyDescent="0.3">
      <c r="A39" s="5" t="s">
        <v>49</v>
      </c>
      <c r="B39" s="11"/>
      <c r="C39" s="12">
        <v>5000</v>
      </c>
      <c r="D39" s="22">
        <v>18</v>
      </c>
      <c r="E39" s="29">
        <v>18</v>
      </c>
      <c r="F39" s="29"/>
      <c r="G39" s="29"/>
      <c r="H39" s="29">
        <v>0</v>
      </c>
      <c r="I39" s="11">
        <f t="shared" si="1"/>
        <v>36</v>
      </c>
      <c r="J39" s="12">
        <f t="shared" si="0"/>
        <v>180000</v>
      </c>
      <c r="L39" s="69"/>
      <c r="M39" s="69"/>
      <c r="N39" s="39"/>
    </row>
    <row r="40" spans="1:14" ht="15.6" x14ac:dyDescent="0.3">
      <c r="A40" s="5" t="s">
        <v>50</v>
      </c>
      <c r="B40" s="11"/>
      <c r="C40" s="12">
        <v>2000</v>
      </c>
      <c r="D40" s="22">
        <v>48</v>
      </c>
      <c r="E40" s="29">
        <f>48+24</f>
        <v>72</v>
      </c>
      <c r="F40" s="29"/>
      <c r="G40" s="29"/>
      <c r="H40" s="29">
        <v>34</v>
      </c>
      <c r="I40" s="11">
        <f t="shared" si="1"/>
        <v>86</v>
      </c>
      <c r="J40" s="12">
        <f t="shared" si="0"/>
        <v>172000</v>
      </c>
      <c r="L40" s="69"/>
      <c r="M40" s="69"/>
      <c r="N40" s="39"/>
    </row>
    <row r="41" spans="1:14" ht="15.6" x14ac:dyDescent="0.3">
      <c r="A41" s="5" t="s">
        <v>51</v>
      </c>
      <c r="B41" s="15"/>
      <c r="C41" s="14">
        <v>15000</v>
      </c>
      <c r="D41" s="22">
        <v>20</v>
      </c>
      <c r="E41" s="32">
        <v>20</v>
      </c>
      <c r="F41" s="32"/>
      <c r="G41" s="32"/>
      <c r="H41" s="32">
        <v>6</v>
      </c>
      <c r="I41" s="11">
        <f t="shared" si="1"/>
        <v>34</v>
      </c>
      <c r="J41" s="12">
        <f t="shared" si="0"/>
        <v>510000</v>
      </c>
      <c r="L41" s="69"/>
      <c r="M41" s="69"/>
      <c r="N41" s="39"/>
    </row>
    <row r="42" spans="1:14" ht="15.6" x14ac:dyDescent="0.3">
      <c r="A42" s="8" t="s">
        <v>58</v>
      </c>
      <c r="B42" s="11"/>
      <c r="C42" s="12">
        <v>260000</v>
      </c>
      <c r="D42" s="22">
        <v>6</v>
      </c>
      <c r="E42" s="29">
        <v>6</v>
      </c>
      <c r="F42" s="29"/>
      <c r="G42" s="29">
        <v>1</v>
      </c>
      <c r="H42" s="29">
        <v>7</v>
      </c>
      <c r="I42" s="11">
        <f t="shared" si="1"/>
        <v>4</v>
      </c>
      <c r="J42" s="12">
        <f t="shared" si="0"/>
        <v>1040000</v>
      </c>
      <c r="L42" s="69"/>
      <c r="M42" s="69"/>
      <c r="N42" s="39"/>
    </row>
    <row r="43" spans="1:14" ht="14.4" x14ac:dyDescent="0.3">
      <c r="A43" s="4"/>
      <c r="B43" s="4"/>
      <c r="C43" s="4"/>
      <c r="D43" s="4"/>
      <c r="E43" s="4"/>
      <c r="F43" s="4"/>
      <c r="G43" s="4"/>
      <c r="H43" s="4"/>
      <c r="I43" s="9" t="s">
        <v>22</v>
      </c>
      <c r="J43" s="10">
        <f>SUM(J3:J42)</f>
        <v>22793000</v>
      </c>
      <c r="L43" s="72"/>
      <c r="M43" s="72"/>
      <c r="N43" s="39"/>
    </row>
    <row r="44" spans="1:14" ht="15.75" customHeight="1" x14ac:dyDescent="0.25">
      <c r="L44" s="69"/>
      <c r="M44" s="69"/>
      <c r="N44" s="39"/>
    </row>
    <row r="45" spans="1:14" ht="15.75" customHeight="1" x14ac:dyDescent="0.25">
      <c r="L45" s="69"/>
      <c r="M45" s="69"/>
      <c r="N45" s="39"/>
    </row>
    <row r="46" spans="1:14" ht="15.75" customHeight="1" x14ac:dyDescent="0.3">
      <c r="L46" s="68"/>
      <c r="M46" s="70"/>
    </row>
    <row r="47" spans="1:14" ht="15.75" customHeight="1" x14ac:dyDescent="0.25">
      <c r="L47" s="69"/>
      <c r="M47" s="70"/>
    </row>
    <row r="48" spans="1:14" ht="15.75" customHeight="1" x14ac:dyDescent="0.25">
      <c r="L48" s="69"/>
      <c r="M48" s="70"/>
    </row>
    <row r="49" spans="12:13" ht="15.75" customHeight="1" x14ac:dyDescent="0.25">
      <c r="L49" s="70"/>
      <c r="M49" s="70"/>
    </row>
    <row r="50" spans="12:13" ht="15.75" customHeight="1" x14ac:dyDescent="0.25">
      <c r="L50" s="39"/>
    </row>
    <row r="51" spans="12:13" ht="15.75" customHeight="1" x14ac:dyDescent="0.25">
      <c r="L51" s="39"/>
    </row>
    <row r="52" spans="12:13" ht="15.75" customHeight="1" x14ac:dyDescent="0.25">
      <c r="L52" s="39"/>
    </row>
    <row r="53" spans="12:13" ht="15.75" customHeight="1" x14ac:dyDescent="0.25">
      <c r="L53" s="39"/>
    </row>
    <row r="54" spans="12:13" ht="15.75" customHeight="1" x14ac:dyDescent="0.25">
      <c r="L54" s="39"/>
    </row>
    <row r="55" spans="12:13" ht="15.75" customHeight="1" x14ac:dyDescent="0.25">
      <c r="L55" s="39"/>
    </row>
    <row r="56" spans="12:13" ht="15.75" customHeight="1" x14ac:dyDescent="0.25">
      <c r="L56" s="39"/>
    </row>
    <row r="57" spans="12:13" ht="15.75" customHeight="1" x14ac:dyDescent="0.25">
      <c r="L57" s="39"/>
    </row>
    <row r="58" spans="12:13" ht="15.75" customHeight="1" x14ac:dyDescent="0.25">
      <c r="L58" s="3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3677-DC92-4911-A148-E7421A382ADF}">
  <dimension ref="A1:G52"/>
  <sheetViews>
    <sheetView topLeftCell="A10" workbookViewId="0">
      <selection activeCell="F17" sqref="F17"/>
    </sheetView>
  </sheetViews>
  <sheetFormatPr baseColWidth="10" defaultRowHeight="13.2" x14ac:dyDescent="0.25"/>
  <cols>
    <col min="2" max="2" width="26.6640625" customWidth="1"/>
    <col min="3" max="3" width="12.109375" customWidth="1"/>
    <col min="4" max="4" width="17.5546875" customWidth="1"/>
    <col min="5" max="5" width="14.5546875" customWidth="1"/>
    <col min="6" max="6" width="26.33203125" customWidth="1"/>
  </cols>
  <sheetData>
    <row r="1" spans="1:7" ht="18" x14ac:dyDescent="0.35">
      <c r="A1" s="50" t="s">
        <v>74</v>
      </c>
      <c r="B1" s="50"/>
      <c r="C1" s="50"/>
      <c r="D1" s="50"/>
      <c r="E1" s="50"/>
      <c r="F1" s="50"/>
      <c r="G1" s="50"/>
    </row>
    <row r="2" spans="1:7" ht="14.4" x14ac:dyDescent="0.25">
      <c r="A2" s="40" t="s">
        <v>75</v>
      </c>
      <c r="B2" s="40" t="s">
        <v>66</v>
      </c>
      <c r="C2" s="40" t="s">
        <v>76</v>
      </c>
      <c r="D2" s="40" t="s">
        <v>77</v>
      </c>
      <c r="E2" s="40" t="s">
        <v>78</v>
      </c>
      <c r="F2" s="40" t="s">
        <v>79</v>
      </c>
      <c r="G2" s="40" t="s">
        <v>80</v>
      </c>
    </row>
    <row r="3" spans="1:7" x14ac:dyDescent="0.25">
      <c r="A3" s="21" t="s">
        <v>110</v>
      </c>
      <c r="B3" s="21" t="s">
        <v>18</v>
      </c>
      <c r="C3" s="21">
        <v>1</v>
      </c>
      <c r="D3" s="51">
        <v>12000</v>
      </c>
      <c r="E3" s="51">
        <v>12000</v>
      </c>
      <c r="F3" s="21" t="s">
        <v>111</v>
      </c>
      <c r="G3" s="21" t="s">
        <v>69</v>
      </c>
    </row>
    <row r="4" spans="1:7" x14ac:dyDescent="0.25">
      <c r="A4" s="21" t="s">
        <v>110</v>
      </c>
      <c r="B4" s="21" t="s">
        <v>28</v>
      </c>
      <c r="C4" s="21">
        <v>1</v>
      </c>
      <c r="D4" s="51">
        <v>16000</v>
      </c>
      <c r="E4" s="51">
        <v>16000</v>
      </c>
      <c r="F4" s="21" t="s">
        <v>111</v>
      </c>
      <c r="G4" s="21" t="s">
        <v>69</v>
      </c>
    </row>
    <row r="5" spans="1:7" x14ac:dyDescent="0.25">
      <c r="A5" s="21" t="s">
        <v>112</v>
      </c>
      <c r="B5" s="21" t="s">
        <v>20</v>
      </c>
      <c r="C5" s="21">
        <v>2</v>
      </c>
      <c r="D5" s="51">
        <v>12000</v>
      </c>
      <c r="E5" s="51">
        <v>24000</v>
      </c>
      <c r="F5" s="21" t="s">
        <v>72</v>
      </c>
      <c r="G5" s="21" t="s">
        <v>69</v>
      </c>
    </row>
    <row r="6" spans="1:7" x14ac:dyDescent="0.25">
      <c r="A6" s="21" t="s">
        <v>112</v>
      </c>
      <c r="B6" s="21" t="s">
        <v>19</v>
      </c>
      <c r="C6" s="21">
        <v>10</v>
      </c>
      <c r="D6" s="51">
        <v>18000</v>
      </c>
      <c r="E6" s="51">
        <v>180000</v>
      </c>
      <c r="F6" s="21" t="s">
        <v>113</v>
      </c>
      <c r="G6" s="21" t="s">
        <v>69</v>
      </c>
    </row>
    <row r="8" spans="1:7" ht="18" x14ac:dyDescent="0.35">
      <c r="A8" s="50" t="s">
        <v>140</v>
      </c>
      <c r="B8" s="50"/>
      <c r="C8" s="50"/>
      <c r="D8" s="50"/>
    </row>
    <row r="9" spans="1:7" ht="14.4" x14ac:dyDescent="0.25">
      <c r="A9" s="40" t="s">
        <v>75</v>
      </c>
      <c r="B9" s="40" t="s">
        <v>66</v>
      </c>
      <c r="C9" s="40" t="s">
        <v>76</v>
      </c>
      <c r="D9" s="40" t="s">
        <v>80</v>
      </c>
    </row>
    <row r="10" spans="1:7" x14ac:dyDescent="0.25">
      <c r="A10" s="21" t="s">
        <v>142</v>
      </c>
      <c r="B10" s="21" t="s">
        <v>58</v>
      </c>
      <c r="C10" s="21">
        <v>1</v>
      </c>
      <c r="D10" s="21" t="s">
        <v>143</v>
      </c>
    </row>
    <row r="11" spans="1:7" x14ac:dyDescent="0.25">
      <c r="A11" s="21" t="s">
        <v>142</v>
      </c>
      <c r="B11" s="21" t="s">
        <v>18</v>
      </c>
      <c r="C11" s="21">
        <v>2</v>
      </c>
      <c r="D11" s="21" t="s">
        <v>144</v>
      </c>
    </row>
    <row r="12" spans="1:7" x14ac:dyDescent="0.25">
      <c r="A12" s="21" t="s">
        <v>110</v>
      </c>
      <c r="B12" s="21" t="s">
        <v>27</v>
      </c>
      <c r="C12" s="21">
        <v>2</v>
      </c>
      <c r="D12" s="21" t="s">
        <v>145</v>
      </c>
    </row>
    <row r="14" spans="1:7" ht="18" x14ac:dyDescent="0.35">
      <c r="A14" s="50" t="s">
        <v>67</v>
      </c>
      <c r="B14" s="50"/>
      <c r="C14" s="50"/>
      <c r="D14" s="50"/>
    </row>
    <row r="15" spans="1:7" ht="14.4" x14ac:dyDescent="0.25">
      <c r="A15" s="40" t="s">
        <v>75</v>
      </c>
      <c r="B15" s="40" t="s">
        <v>66</v>
      </c>
      <c r="C15" s="40" t="s">
        <v>76</v>
      </c>
      <c r="D15" s="40" t="s">
        <v>146</v>
      </c>
    </row>
    <row r="16" spans="1:7" x14ac:dyDescent="0.25">
      <c r="A16" s="21" t="s">
        <v>155</v>
      </c>
      <c r="B16" s="21" t="s">
        <v>19</v>
      </c>
      <c r="C16" s="21">
        <v>72</v>
      </c>
      <c r="D16" s="21" t="s">
        <v>68</v>
      </c>
    </row>
    <row r="17" spans="1:4" x14ac:dyDescent="0.25">
      <c r="A17" s="21" t="s">
        <v>155</v>
      </c>
      <c r="B17" s="21" t="s">
        <v>23</v>
      </c>
      <c r="C17" s="21">
        <v>240</v>
      </c>
      <c r="D17" s="21" t="s">
        <v>68</v>
      </c>
    </row>
    <row r="18" spans="1:4" x14ac:dyDescent="0.25">
      <c r="A18" s="21" t="s">
        <v>155</v>
      </c>
      <c r="B18" s="21" t="s">
        <v>18</v>
      </c>
      <c r="C18" s="21">
        <v>440</v>
      </c>
      <c r="D18" s="21" t="s">
        <v>68</v>
      </c>
    </row>
    <row r="19" spans="1:4" x14ac:dyDescent="0.25">
      <c r="A19" s="21" t="s">
        <v>156</v>
      </c>
      <c r="B19" s="21" t="s">
        <v>16</v>
      </c>
      <c r="C19" s="21">
        <v>24</v>
      </c>
      <c r="D19" s="21" t="s">
        <v>68</v>
      </c>
    </row>
    <row r="20" spans="1:4" x14ac:dyDescent="0.25">
      <c r="A20" s="21" t="s">
        <v>156</v>
      </c>
      <c r="B20" s="21" t="s">
        <v>15</v>
      </c>
      <c r="C20" s="21">
        <v>24</v>
      </c>
      <c r="D20" s="21" t="s">
        <v>68</v>
      </c>
    </row>
    <row r="21" spans="1:4" x14ac:dyDescent="0.25">
      <c r="A21" s="21" t="s">
        <v>156</v>
      </c>
      <c r="B21" s="21" t="s">
        <v>20</v>
      </c>
      <c r="C21" s="21">
        <v>12</v>
      </c>
      <c r="D21" s="21" t="s">
        <v>68</v>
      </c>
    </row>
    <row r="22" spans="1:4" x14ac:dyDescent="0.25">
      <c r="A22" s="21" t="s">
        <v>156</v>
      </c>
      <c r="B22" s="21" t="s">
        <v>64</v>
      </c>
      <c r="C22" s="21">
        <v>48</v>
      </c>
      <c r="D22" s="21" t="s">
        <v>68</v>
      </c>
    </row>
    <row r="23" spans="1:4" x14ac:dyDescent="0.25">
      <c r="A23" s="21" t="s">
        <v>157</v>
      </c>
      <c r="B23" s="21" t="s">
        <v>27</v>
      </c>
      <c r="C23" s="21">
        <v>240</v>
      </c>
      <c r="D23" s="21" t="s">
        <v>68</v>
      </c>
    </row>
    <row r="24" spans="1:4" x14ac:dyDescent="0.25">
      <c r="A24" s="21" t="s">
        <v>157</v>
      </c>
      <c r="B24" s="21" t="s">
        <v>28</v>
      </c>
      <c r="C24" s="21">
        <v>96</v>
      </c>
      <c r="D24" s="21" t="s">
        <v>68</v>
      </c>
    </row>
    <row r="25" spans="1:4" x14ac:dyDescent="0.25">
      <c r="A25" s="21" t="s">
        <v>157</v>
      </c>
      <c r="B25" s="21" t="s">
        <v>30</v>
      </c>
      <c r="C25" s="21">
        <v>24</v>
      </c>
      <c r="D25" s="21" t="s">
        <v>68</v>
      </c>
    </row>
    <row r="26" spans="1:4" x14ac:dyDescent="0.25">
      <c r="A26" s="21" t="s">
        <v>157</v>
      </c>
      <c r="B26" s="21" t="s">
        <v>56</v>
      </c>
      <c r="C26" s="21">
        <v>4</v>
      </c>
      <c r="D26" s="21" t="s">
        <v>68</v>
      </c>
    </row>
    <row r="27" spans="1:4" x14ac:dyDescent="0.25">
      <c r="A27" s="21" t="s">
        <v>157</v>
      </c>
      <c r="B27" s="21" t="s">
        <v>55</v>
      </c>
      <c r="C27" s="21">
        <v>8</v>
      </c>
      <c r="D27" s="21" t="s">
        <v>68</v>
      </c>
    </row>
    <row r="28" spans="1:4" x14ac:dyDescent="0.25">
      <c r="A28" s="21" t="s">
        <v>158</v>
      </c>
      <c r="B28" s="21" t="s">
        <v>60</v>
      </c>
      <c r="C28" s="21">
        <v>4</v>
      </c>
      <c r="D28" s="21" t="s">
        <v>68</v>
      </c>
    </row>
    <row r="29" spans="1:4" x14ac:dyDescent="0.25">
      <c r="A29" s="21" t="s">
        <v>158</v>
      </c>
      <c r="B29" s="21" t="s">
        <v>10</v>
      </c>
      <c r="C29" s="21">
        <v>4</v>
      </c>
      <c r="D29" s="21" t="s">
        <v>68</v>
      </c>
    </row>
    <row r="30" spans="1:4" x14ac:dyDescent="0.25">
      <c r="A30" s="21" t="s">
        <v>159</v>
      </c>
      <c r="B30" s="21" t="s">
        <v>11</v>
      </c>
      <c r="C30" s="21">
        <v>2</v>
      </c>
      <c r="D30" s="21" t="s">
        <v>68</v>
      </c>
    </row>
    <row r="31" spans="1:4" x14ac:dyDescent="0.25">
      <c r="A31" s="21" t="s">
        <v>159</v>
      </c>
      <c r="B31" s="21" t="s">
        <v>12</v>
      </c>
      <c r="C31" s="21">
        <v>2</v>
      </c>
      <c r="D31" s="21" t="s">
        <v>68</v>
      </c>
    </row>
    <row r="32" spans="1:4" x14ac:dyDescent="0.25">
      <c r="A32" s="21" t="s">
        <v>159</v>
      </c>
      <c r="B32" s="21" t="s">
        <v>59</v>
      </c>
      <c r="C32" s="21">
        <v>5</v>
      </c>
      <c r="D32" s="21" t="s">
        <v>68</v>
      </c>
    </row>
    <row r="33" spans="1:4" x14ac:dyDescent="0.25">
      <c r="A33" s="21" t="s">
        <v>159</v>
      </c>
      <c r="B33" s="21" t="s">
        <v>53</v>
      </c>
      <c r="C33" s="21">
        <v>4</v>
      </c>
      <c r="D33" s="21" t="s">
        <v>68</v>
      </c>
    </row>
    <row r="34" spans="1:4" x14ac:dyDescent="0.25">
      <c r="A34" s="21" t="s">
        <v>159</v>
      </c>
      <c r="B34" s="21" t="s">
        <v>41</v>
      </c>
      <c r="C34" s="21">
        <v>5</v>
      </c>
      <c r="D34" s="21" t="s">
        <v>68</v>
      </c>
    </row>
    <row r="35" spans="1:4" x14ac:dyDescent="0.25">
      <c r="A35" s="21" t="s">
        <v>159</v>
      </c>
      <c r="B35" s="21" t="s">
        <v>42</v>
      </c>
      <c r="C35" s="21">
        <v>15</v>
      </c>
      <c r="D35" s="21" t="s">
        <v>68</v>
      </c>
    </row>
    <row r="36" spans="1:4" x14ac:dyDescent="0.25">
      <c r="A36" s="21" t="s">
        <v>159</v>
      </c>
      <c r="B36" s="21" t="s">
        <v>61</v>
      </c>
      <c r="C36" s="21">
        <v>1</v>
      </c>
      <c r="D36" s="21" t="s">
        <v>68</v>
      </c>
    </row>
    <row r="37" spans="1:4" x14ac:dyDescent="0.25">
      <c r="A37" s="21" t="s">
        <v>159</v>
      </c>
      <c r="B37" s="21" t="s">
        <v>57</v>
      </c>
      <c r="C37" s="21">
        <v>5</v>
      </c>
      <c r="D37" s="21" t="s">
        <v>68</v>
      </c>
    </row>
    <row r="38" spans="1:4" x14ac:dyDescent="0.25">
      <c r="A38" s="21" t="s">
        <v>160</v>
      </c>
      <c r="B38" s="21" t="s">
        <v>62</v>
      </c>
      <c r="C38" s="21">
        <v>8</v>
      </c>
      <c r="D38" s="21" t="s">
        <v>68</v>
      </c>
    </row>
    <row r="39" spans="1:4" x14ac:dyDescent="0.25">
      <c r="A39" s="21" t="s">
        <v>160</v>
      </c>
      <c r="B39" s="21" t="s">
        <v>54</v>
      </c>
      <c r="C39" s="21">
        <v>12</v>
      </c>
      <c r="D39" s="21" t="s">
        <v>68</v>
      </c>
    </row>
    <row r="40" spans="1:4" x14ac:dyDescent="0.25">
      <c r="A40" s="21" t="s">
        <v>160</v>
      </c>
      <c r="B40" s="21" t="s">
        <v>58</v>
      </c>
      <c r="C40" s="21">
        <v>6</v>
      </c>
      <c r="D40" s="21" t="s">
        <v>68</v>
      </c>
    </row>
    <row r="41" spans="1:4" x14ac:dyDescent="0.25">
      <c r="A41" s="21" t="s">
        <v>160</v>
      </c>
      <c r="B41" s="21" t="s">
        <v>63</v>
      </c>
      <c r="C41" s="21">
        <v>18</v>
      </c>
      <c r="D41" s="21" t="s">
        <v>68</v>
      </c>
    </row>
    <row r="42" spans="1:4" x14ac:dyDescent="0.25">
      <c r="A42" s="21" t="s">
        <v>160</v>
      </c>
      <c r="B42" s="21" t="s">
        <v>50</v>
      </c>
      <c r="C42" s="21">
        <v>48</v>
      </c>
      <c r="D42" s="21" t="s">
        <v>68</v>
      </c>
    </row>
    <row r="43" spans="1:4" x14ac:dyDescent="0.25">
      <c r="A43" s="21" t="s">
        <v>161</v>
      </c>
      <c r="B43" s="21" t="s">
        <v>65</v>
      </c>
      <c r="C43" s="21">
        <v>20</v>
      </c>
      <c r="D43" s="21" t="s">
        <v>68</v>
      </c>
    </row>
    <row r="44" spans="1:4" x14ac:dyDescent="0.25">
      <c r="A44" s="21" t="s">
        <v>161</v>
      </c>
      <c r="B44" s="21" t="s">
        <v>24</v>
      </c>
      <c r="C44" s="21">
        <v>24</v>
      </c>
      <c r="D44" s="21" t="s">
        <v>68</v>
      </c>
    </row>
    <row r="45" spans="1:4" x14ac:dyDescent="0.25">
      <c r="A45" s="21" t="s">
        <v>70</v>
      </c>
      <c r="B45" s="21" t="s">
        <v>23</v>
      </c>
      <c r="C45" s="21">
        <v>60</v>
      </c>
      <c r="D45" s="21" t="s">
        <v>68</v>
      </c>
    </row>
    <row r="46" spans="1:4" x14ac:dyDescent="0.25">
      <c r="A46" s="21" t="s">
        <v>70</v>
      </c>
      <c r="B46" s="21" t="s">
        <v>50</v>
      </c>
      <c r="C46" s="21">
        <v>48</v>
      </c>
      <c r="D46" s="21" t="s">
        <v>68</v>
      </c>
    </row>
    <row r="47" spans="1:4" x14ac:dyDescent="0.25">
      <c r="A47" s="21" t="s">
        <v>70</v>
      </c>
      <c r="B47" s="21" t="s">
        <v>18</v>
      </c>
      <c r="C47" s="21">
        <v>100</v>
      </c>
      <c r="D47" s="21" t="s">
        <v>68</v>
      </c>
    </row>
    <row r="48" spans="1:4" x14ac:dyDescent="0.25">
      <c r="A48" s="21" t="s">
        <v>70</v>
      </c>
      <c r="B48" s="21" t="s">
        <v>58</v>
      </c>
      <c r="C48" s="21">
        <v>6</v>
      </c>
      <c r="D48" s="21" t="s">
        <v>68</v>
      </c>
    </row>
    <row r="49" spans="1:4" x14ac:dyDescent="0.25">
      <c r="A49" s="21" t="s">
        <v>70</v>
      </c>
      <c r="B49" s="21" t="s">
        <v>65</v>
      </c>
      <c r="C49" s="21">
        <v>20</v>
      </c>
      <c r="D49" s="21" t="s">
        <v>68</v>
      </c>
    </row>
    <row r="50" spans="1:4" x14ac:dyDescent="0.25">
      <c r="A50" s="21" t="s">
        <v>70</v>
      </c>
      <c r="B50" s="21" t="s">
        <v>63</v>
      </c>
      <c r="C50" s="21">
        <v>18</v>
      </c>
      <c r="D50" s="21" t="s">
        <v>68</v>
      </c>
    </row>
    <row r="51" spans="1:4" x14ac:dyDescent="0.25">
      <c r="A51" s="21" t="s">
        <v>71</v>
      </c>
      <c r="B51" s="21" t="s">
        <v>50</v>
      </c>
      <c r="C51" s="21">
        <v>24</v>
      </c>
      <c r="D51" s="21" t="s">
        <v>68</v>
      </c>
    </row>
    <row r="52" spans="1:4" x14ac:dyDescent="0.25">
      <c r="A52" s="21" t="s">
        <v>71</v>
      </c>
      <c r="B52" s="21" t="s">
        <v>28</v>
      </c>
      <c r="C52" s="21">
        <v>48</v>
      </c>
      <c r="D52" s="2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3836-81CB-48BF-90C2-CFE8CD677D2E}">
  <sheetPr>
    <outlinePr summaryBelow="0" summaryRight="0"/>
    <pageSetUpPr fitToPage="1"/>
  </sheetPr>
  <dimension ref="A1:R52"/>
  <sheetViews>
    <sheetView zoomScale="54" zoomScaleNormal="85" workbookViewId="0">
      <selection activeCell="T27" sqref="T27"/>
    </sheetView>
  </sheetViews>
  <sheetFormatPr baseColWidth="10" defaultColWidth="12.6640625" defaultRowHeight="15.75" customHeight="1" x14ac:dyDescent="0.25"/>
  <cols>
    <col min="1" max="1" width="51.77734375" customWidth="1"/>
    <col min="10" max="10" width="33" customWidth="1"/>
    <col min="12" max="12" width="39" customWidth="1"/>
    <col min="16" max="16" width="35.6640625" customWidth="1"/>
  </cols>
  <sheetData>
    <row r="1" spans="1:1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71"/>
      <c r="M1" s="71"/>
      <c r="N1" s="71"/>
      <c r="O1" s="70"/>
      <c r="P1" s="72"/>
      <c r="Q1" s="72"/>
      <c r="R1" s="72"/>
    </row>
    <row r="2" spans="1:18" ht="15.75" customHeight="1" x14ac:dyDescent="0.3">
      <c r="A2" s="2" t="s">
        <v>52</v>
      </c>
      <c r="B2" s="3"/>
      <c r="C2" s="3"/>
      <c r="D2" s="3"/>
      <c r="E2" s="3"/>
      <c r="F2" s="3"/>
      <c r="G2" s="3"/>
      <c r="H2" s="3"/>
      <c r="I2" s="3"/>
      <c r="J2" s="3"/>
      <c r="L2" s="72"/>
      <c r="M2" s="72"/>
      <c r="N2" s="72"/>
      <c r="O2" s="70"/>
      <c r="P2" s="69"/>
      <c r="Q2" s="69"/>
      <c r="R2" s="69"/>
    </row>
    <row r="3" spans="1:18" ht="15.75" customHeight="1" x14ac:dyDescent="0.3">
      <c r="A3" s="5" t="s">
        <v>19</v>
      </c>
      <c r="B3" s="21">
        <v>18000</v>
      </c>
      <c r="C3" s="12">
        <v>18000</v>
      </c>
      <c r="D3" s="22">
        <v>72</v>
      </c>
      <c r="E3" s="29"/>
      <c r="F3" s="29">
        <v>7</v>
      </c>
      <c r="G3" s="29"/>
      <c r="H3" s="29">
        <v>24</v>
      </c>
      <c r="I3" s="11">
        <f>(D3+E3-G3-H3-F3)</f>
        <v>41</v>
      </c>
      <c r="J3" s="12">
        <f t="shared" ref="J3:J42" si="0">I3*C3</f>
        <v>738000</v>
      </c>
      <c r="L3" s="69"/>
      <c r="M3" s="69"/>
      <c r="N3" s="69"/>
      <c r="O3" s="70"/>
      <c r="P3" s="69"/>
      <c r="Q3" s="69"/>
      <c r="R3" s="69"/>
    </row>
    <row r="4" spans="1:18" ht="15.75" customHeight="1" x14ac:dyDescent="0.3">
      <c r="A4" s="5" t="s">
        <v>23</v>
      </c>
      <c r="B4" s="11"/>
      <c r="C4" s="12">
        <v>16000</v>
      </c>
      <c r="D4" s="22">
        <v>240</v>
      </c>
      <c r="E4" s="29"/>
      <c r="F4" s="29">
        <v>7</v>
      </c>
      <c r="G4" s="29"/>
      <c r="H4" s="29">
        <v>143</v>
      </c>
      <c r="I4" s="11">
        <f t="shared" ref="I4:I42" si="1">(D4+E4-G4-H4-F4)</f>
        <v>90</v>
      </c>
      <c r="J4" s="12">
        <f t="shared" si="0"/>
        <v>1440000</v>
      </c>
      <c r="L4" s="69"/>
      <c r="M4" s="69"/>
      <c r="N4" s="69"/>
      <c r="O4" s="70"/>
      <c r="P4" s="72"/>
      <c r="Q4" s="72"/>
      <c r="R4" s="72"/>
    </row>
    <row r="5" spans="1:18" ht="15.75" customHeight="1" x14ac:dyDescent="0.3">
      <c r="A5" s="5" t="s">
        <v>18</v>
      </c>
      <c r="B5" s="11"/>
      <c r="C5" s="12">
        <v>12000</v>
      </c>
      <c r="D5" s="22">
        <f>440-160</f>
        <v>280</v>
      </c>
      <c r="E5" s="29"/>
      <c r="F5" s="29">
        <v>17</v>
      </c>
      <c r="G5" s="29"/>
      <c r="H5" s="29">
        <v>84</v>
      </c>
      <c r="I5" s="11">
        <f t="shared" si="1"/>
        <v>179</v>
      </c>
      <c r="J5" s="12">
        <f t="shared" si="0"/>
        <v>2148000</v>
      </c>
      <c r="L5" s="69"/>
      <c r="M5" s="69"/>
      <c r="N5" s="69"/>
      <c r="O5" s="70"/>
      <c r="P5" s="69"/>
      <c r="Q5" s="69"/>
      <c r="R5" s="69"/>
    </row>
    <row r="6" spans="1:18" ht="15.75" customHeight="1" x14ac:dyDescent="0.3">
      <c r="A6" s="5" t="s">
        <v>16</v>
      </c>
      <c r="B6" s="11"/>
      <c r="C6" s="12">
        <v>12000</v>
      </c>
      <c r="D6" s="22">
        <v>24</v>
      </c>
      <c r="E6" s="29"/>
      <c r="F6" s="29"/>
      <c r="G6" s="29"/>
      <c r="H6" s="29">
        <v>10</v>
      </c>
      <c r="I6" s="11">
        <f t="shared" si="1"/>
        <v>14</v>
      </c>
      <c r="J6" s="12">
        <f t="shared" si="0"/>
        <v>168000</v>
      </c>
      <c r="L6" s="69"/>
      <c r="M6" s="69"/>
      <c r="N6" s="69"/>
      <c r="O6" s="70"/>
      <c r="P6" s="69"/>
      <c r="Q6" s="69"/>
      <c r="R6" s="69"/>
    </row>
    <row r="7" spans="1:18" ht="15.75" customHeight="1" x14ac:dyDescent="0.3">
      <c r="A7" s="5" t="s">
        <v>24</v>
      </c>
      <c r="B7" s="11"/>
      <c r="C7" s="12">
        <v>12000</v>
      </c>
      <c r="D7" s="22">
        <v>24</v>
      </c>
      <c r="E7" s="29"/>
      <c r="F7" s="29">
        <v>4</v>
      </c>
      <c r="G7" s="29"/>
      <c r="H7" s="29">
        <v>13</v>
      </c>
      <c r="I7" s="11">
        <f t="shared" si="1"/>
        <v>7</v>
      </c>
      <c r="J7" s="12">
        <f t="shared" si="0"/>
        <v>84000</v>
      </c>
      <c r="L7" s="69"/>
      <c r="M7" s="69"/>
      <c r="N7" s="69"/>
      <c r="O7" s="70"/>
      <c r="P7" s="72"/>
      <c r="Q7" s="72"/>
      <c r="R7" s="72"/>
    </row>
    <row r="8" spans="1:18" ht="15.75" customHeight="1" x14ac:dyDescent="0.3">
      <c r="A8" s="5" t="s">
        <v>15</v>
      </c>
      <c r="B8" s="11"/>
      <c r="C8" s="12">
        <v>12000</v>
      </c>
      <c r="D8" s="22">
        <v>24</v>
      </c>
      <c r="E8" s="29"/>
      <c r="F8" s="29"/>
      <c r="G8" s="29"/>
      <c r="H8" s="29">
        <v>22</v>
      </c>
      <c r="I8" s="11">
        <f t="shared" si="1"/>
        <v>2</v>
      </c>
      <c r="J8" s="12">
        <f t="shared" si="0"/>
        <v>24000</v>
      </c>
      <c r="L8" s="69"/>
      <c r="M8" s="69"/>
      <c r="N8" s="69"/>
      <c r="O8" s="70"/>
      <c r="P8" s="69"/>
      <c r="Q8" s="69"/>
      <c r="R8" s="69"/>
    </row>
    <row r="9" spans="1:18" ht="15.75" customHeight="1" x14ac:dyDescent="0.3">
      <c r="A9" s="5" t="s">
        <v>20</v>
      </c>
      <c r="B9" s="11"/>
      <c r="C9" s="12">
        <v>12000</v>
      </c>
      <c r="D9" s="22">
        <v>12</v>
      </c>
      <c r="E9" s="29"/>
      <c r="F9" s="29"/>
      <c r="G9" s="29"/>
      <c r="H9" s="29">
        <v>11</v>
      </c>
      <c r="I9" s="11">
        <f t="shared" si="1"/>
        <v>1</v>
      </c>
      <c r="J9" s="12">
        <f t="shared" si="0"/>
        <v>12000</v>
      </c>
      <c r="L9" s="69"/>
      <c r="M9" s="69"/>
      <c r="N9" s="69"/>
      <c r="O9" s="70"/>
      <c r="P9" s="69"/>
      <c r="Q9" s="69"/>
      <c r="R9" s="69"/>
    </row>
    <row r="10" spans="1:18" ht="15.75" customHeight="1" x14ac:dyDescent="0.3">
      <c r="A10" s="5" t="s">
        <v>17</v>
      </c>
      <c r="B10" s="11"/>
      <c r="C10" s="12">
        <v>12000</v>
      </c>
      <c r="D10" s="22">
        <v>0</v>
      </c>
      <c r="E10" s="29"/>
      <c r="F10" s="29"/>
      <c r="G10" s="29"/>
      <c r="H10" s="29"/>
      <c r="I10" s="11">
        <f t="shared" si="1"/>
        <v>0</v>
      </c>
      <c r="J10" s="12">
        <f t="shared" si="0"/>
        <v>0</v>
      </c>
      <c r="L10" s="69"/>
      <c r="M10" s="69"/>
      <c r="N10" s="69"/>
      <c r="O10" s="70"/>
      <c r="P10" s="69"/>
      <c r="Q10" s="69"/>
      <c r="R10" s="69"/>
    </row>
    <row r="11" spans="1:18" ht="15.75" customHeight="1" x14ac:dyDescent="0.3">
      <c r="A11" s="5" t="s">
        <v>25</v>
      </c>
      <c r="B11" s="13"/>
      <c r="C11" s="14">
        <v>25000</v>
      </c>
      <c r="D11" s="22">
        <v>48</v>
      </c>
      <c r="E11" s="28"/>
      <c r="F11" s="28">
        <v>2</v>
      </c>
      <c r="G11" s="32"/>
      <c r="H11" s="32">
        <v>32</v>
      </c>
      <c r="I11" s="11">
        <f t="shared" si="1"/>
        <v>14</v>
      </c>
      <c r="J11" s="12">
        <f t="shared" si="0"/>
        <v>350000</v>
      </c>
      <c r="L11" s="69"/>
      <c r="M11" s="69"/>
      <c r="N11" s="69"/>
      <c r="O11" s="70"/>
      <c r="P11" s="72"/>
      <c r="Q11" s="72"/>
      <c r="R11" s="72"/>
    </row>
    <row r="12" spans="1:18" ht="15.75" customHeight="1" x14ac:dyDescent="0.3">
      <c r="A12" s="6" t="s">
        <v>26</v>
      </c>
      <c r="B12" s="16"/>
      <c r="C12" s="17"/>
      <c r="D12" s="23"/>
      <c r="E12" s="35"/>
      <c r="F12" s="35"/>
      <c r="G12" s="33"/>
      <c r="H12" s="33"/>
      <c r="I12" s="33"/>
      <c r="J12" s="18"/>
      <c r="L12" s="69"/>
      <c r="M12" s="69"/>
      <c r="N12" s="69"/>
      <c r="O12" s="70"/>
      <c r="P12" s="69"/>
      <c r="Q12" s="69"/>
      <c r="R12" s="69"/>
    </row>
    <row r="13" spans="1:18" ht="15.75" customHeight="1" x14ac:dyDescent="0.3">
      <c r="A13" s="5" t="s">
        <v>27</v>
      </c>
      <c r="B13" s="11"/>
      <c r="C13" s="12">
        <v>13000</v>
      </c>
      <c r="D13" s="22">
        <v>240</v>
      </c>
      <c r="E13" s="29"/>
      <c r="F13" s="29"/>
      <c r="G13" s="29"/>
      <c r="H13" s="29">
        <v>191</v>
      </c>
      <c r="I13" s="11">
        <f t="shared" si="1"/>
        <v>49</v>
      </c>
      <c r="J13" s="12">
        <f t="shared" si="0"/>
        <v>637000</v>
      </c>
      <c r="L13" s="69"/>
      <c r="M13" s="69"/>
      <c r="N13" s="69"/>
      <c r="O13" s="70"/>
      <c r="P13" s="69"/>
      <c r="Q13" s="69"/>
      <c r="R13" s="69"/>
    </row>
    <row r="14" spans="1:18" ht="15.75" customHeight="1" x14ac:dyDescent="0.3">
      <c r="A14" s="5" t="s">
        <v>28</v>
      </c>
      <c r="B14" s="13"/>
      <c r="C14" s="14">
        <v>16000</v>
      </c>
      <c r="D14" s="22">
        <v>96</v>
      </c>
      <c r="E14" s="28"/>
      <c r="F14" s="28">
        <v>9</v>
      </c>
      <c r="G14" s="32"/>
      <c r="H14" s="32">
        <v>40</v>
      </c>
      <c r="I14" s="11">
        <f t="shared" si="1"/>
        <v>47</v>
      </c>
      <c r="J14" s="12">
        <f t="shared" si="0"/>
        <v>752000</v>
      </c>
      <c r="L14" s="69"/>
      <c r="M14" s="69"/>
      <c r="N14" s="69"/>
      <c r="O14" s="70"/>
      <c r="P14" s="69"/>
      <c r="Q14" s="69"/>
      <c r="R14" s="69"/>
    </row>
    <row r="15" spans="1:18" ht="15.75" customHeight="1" x14ac:dyDescent="0.3">
      <c r="A15" s="6" t="s">
        <v>29</v>
      </c>
      <c r="B15" s="16"/>
      <c r="C15" s="17"/>
      <c r="D15" s="23"/>
      <c r="E15" s="35"/>
      <c r="F15" s="35"/>
      <c r="G15" s="33"/>
      <c r="H15" s="33"/>
      <c r="I15" s="33"/>
      <c r="J15" s="18"/>
      <c r="L15" s="69"/>
      <c r="M15" s="69"/>
      <c r="N15" s="69"/>
      <c r="O15" s="70"/>
      <c r="P15" s="69"/>
      <c r="Q15" s="69"/>
      <c r="R15" s="69"/>
    </row>
    <row r="16" spans="1:18" ht="15.75" customHeight="1" x14ac:dyDescent="0.3">
      <c r="A16" s="5" t="s">
        <v>30</v>
      </c>
      <c r="B16" s="13"/>
      <c r="C16" s="14">
        <v>25000</v>
      </c>
      <c r="D16" s="22">
        <v>24</v>
      </c>
      <c r="E16" s="28"/>
      <c r="F16" s="28"/>
      <c r="G16" s="32"/>
      <c r="H16" s="32">
        <v>20</v>
      </c>
      <c r="I16" s="11">
        <f t="shared" si="1"/>
        <v>4</v>
      </c>
      <c r="J16" s="12">
        <f t="shared" si="0"/>
        <v>100000</v>
      </c>
      <c r="L16" s="69"/>
      <c r="M16" s="69"/>
      <c r="N16" s="69"/>
      <c r="O16" s="70"/>
      <c r="P16" s="69"/>
      <c r="Q16" s="69"/>
      <c r="R16" s="69"/>
    </row>
    <row r="17" spans="1:18" ht="15.75" customHeight="1" x14ac:dyDescent="0.3">
      <c r="A17" s="6" t="s">
        <v>31</v>
      </c>
      <c r="B17" s="16"/>
      <c r="C17" s="17"/>
      <c r="D17" s="23"/>
      <c r="E17" s="35"/>
      <c r="F17" s="35"/>
      <c r="G17" s="33"/>
      <c r="H17" s="33"/>
      <c r="I17" s="33"/>
      <c r="J17" s="18"/>
      <c r="L17" s="69"/>
      <c r="M17" s="69"/>
      <c r="N17" s="69"/>
      <c r="O17" s="70"/>
      <c r="P17" s="69"/>
      <c r="Q17" s="69"/>
      <c r="R17" s="69"/>
    </row>
    <row r="18" spans="1:18" ht="15.75" customHeight="1" x14ac:dyDescent="0.3">
      <c r="A18" s="5" t="s">
        <v>32</v>
      </c>
      <c r="B18" s="11"/>
      <c r="C18" s="12">
        <v>400000</v>
      </c>
      <c r="D18" s="22">
        <v>4</v>
      </c>
      <c r="E18" s="29"/>
      <c r="F18" s="29"/>
      <c r="G18" s="29"/>
      <c r="H18" s="29">
        <v>4</v>
      </c>
      <c r="I18" s="11">
        <f t="shared" si="1"/>
        <v>0</v>
      </c>
      <c r="J18" s="12">
        <f t="shared" si="0"/>
        <v>0</v>
      </c>
      <c r="L18" s="69"/>
      <c r="M18" s="69"/>
      <c r="N18" s="69"/>
      <c r="O18" s="70"/>
      <c r="P18" s="69"/>
      <c r="Q18" s="69"/>
      <c r="R18" s="69"/>
    </row>
    <row r="19" spans="1:18" ht="15.75" customHeight="1" x14ac:dyDescent="0.3">
      <c r="A19" s="5" t="s">
        <v>33</v>
      </c>
      <c r="B19" s="11"/>
      <c r="C19" s="12">
        <v>360000</v>
      </c>
      <c r="D19" s="22">
        <v>8</v>
      </c>
      <c r="E19" s="29"/>
      <c r="F19" s="29"/>
      <c r="G19" s="29"/>
      <c r="H19" s="29">
        <v>6</v>
      </c>
      <c r="I19" s="11">
        <f t="shared" si="1"/>
        <v>2</v>
      </c>
      <c r="J19" s="12">
        <f t="shared" si="0"/>
        <v>720000</v>
      </c>
      <c r="L19" s="69"/>
      <c r="M19" s="69"/>
      <c r="N19" s="69"/>
      <c r="O19" s="70"/>
      <c r="P19" s="69"/>
      <c r="Q19" s="69"/>
      <c r="R19" s="69"/>
    </row>
    <row r="20" spans="1:18" ht="15.75" customHeight="1" x14ac:dyDescent="0.3">
      <c r="A20" s="5" t="s">
        <v>34</v>
      </c>
      <c r="B20" s="13"/>
      <c r="C20" s="14">
        <v>260000</v>
      </c>
      <c r="D20" s="30">
        <v>4</v>
      </c>
      <c r="E20" s="28"/>
      <c r="F20" s="28"/>
      <c r="G20" s="32"/>
      <c r="H20" s="32">
        <v>4</v>
      </c>
      <c r="I20" s="11">
        <f t="shared" si="1"/>
        <v>0</v>
      </c>
      <c r="J20" s="12">
        <f t="shared" si="0"/>
        <v>0</v>
      </c>
      <c r="L20" s="69"/>
      <c r="M20" s="69"/>
      <c r="N20" s="69"/>
      <c r="O20" s="70"/>
      <c r="P20" s="69"/>
      <c r="Q20" s="69"/>
      <c r="R20" s="69"/>
    </row>
    <row r="21" spans="1:18" ht="15.75" customHeight="1" x14ac:dyDescent="0.3">
      <c r="A21" s="6" t="s">
        <v>35</v>
      </c>
      <c r="B21" s="16"/>
      <c r="C21" s="17"/>
      <c r="D21" s="23"/>
      <c r="E21" s="35"/>
      <c r="F21" s="35"/>
      <c r="G21" s="33"/>
      <c r="H21" s="33"/>
      <c r="I21" s="33"/>
      <c r="J21" s="18"/>
      <c r="L21" s="69"/>
      <c r="M21" s="69"/>
      <c r="N21" s="69"/>
      <c r="O21" s="70"/>
      <c r="P21" s="72"/>
      <c r="Q21" s="72"/>
      <c r="R21" s="72"/>
    </row>
    <row r="22" spans="1:18" ht="15.75" customHeight="1" x14ac:dyDescent="0.3">
      <c r="A22" s="5" t="s">
        <v>36</v>
      </c>
      <c r="B22" s="11"/>
      <c r="C22" s="12">
        <v>260000</v>
      </c>
      <c r="D22" s="22"/>
      <c r="E22" s="29"/>
      <c r="F22" s="29"/>
      <c r="G22" s="29"/>
      <c r="H22" s="29"/>
      <c r="I22" s="11">
        <f t="shared" si="1"/>
        <v>0</v>
      </c>
      <c r="J22" s="12">
        <f t="shared" si="0"/>
        <v>0</v>
      </c>
      <c r="L22" s="69"/>
      <c r="M22" s="69"/>
      <c r="N22" s="69"/>
      <c r="O22" s="70"/>
      <c r="P22" s="69"/>
      <c r="Q22" s="69"/>
      <c r="R22" s="69"/>
    </row>
    <row r="23" spans="1:18" ht="15.75" customHeight="1" x14ac:dyDescent="0.3">
      <c r="A23" s="5" t="s">
        <v>37</v>
      </c>
      <c r="B23" s="13"/>
      <c r="C23" s="14">
        <v>160000</v>
      </c>
      <c r="D23" s="22">
        <v>4</v>
      </c>
      <c r="E23" s="28"/>
      <c r="F23" s="28"/>
      <c r="G23" s="32"/>
      <c r="H23" s="32">
        <v>1</v>
      </c>
      <c r="I23" s="11">
        <f t="shared" si="1"/>
        <v>3</v>
      </c>
      <c r="J23" s="12">
        <f t="shared" si="0"/>
        <v>480000</v>
      </c>
      <c r="L23" s="72"/>
      <c r="M23" s="72"/>
      <c r="N23" s="72"/>
      <c r="O23" s="70"/>
      <c r="P23" s="69"/>
      <c r="Q23" s="69"/>
      <c r="R23" s="69"/>
    </row>
    <row r="24" spans="1:18" ht="15.75" customHeight="1" x14ac:dyDescent="0.3">
      <c r="A24" s="6" t="s">
        <v>38</v>
      </c>
      <c r="B24" s="16"/>
      <c r="C24" s="17"/>
      <c r="D24" s="23"/>
      <c r="E24" s="35"/>
      <c r="F24" s="35"/>
      <c r="G24" s="33"/>
      <c r="H24" s="33"/>
      <c r="I24" s="33"/>
      <c r="J24" s="18"/>
      <c r="L24" s="69"/>
      <c r="M24" s="69"/>
      <c r="N24" s="69"/>
      <c r="O24" s="70"/>
      <c r="P24" s="68"/>
      <c r="Q24" s="70"/>
      <c r="R24" s="69"/>
    </row>
    <row r="25" spans="1:18" ht="15.75" customHeight="1" x14ac:dyDescent="0.3">
      <c r="A25" s="5" t="s">
        <v>11</v>
      </c>
      <c r="B25" s="11"/>
      <c r="C25" s="12">
        <v>800000</v>
      </c>
      <c r="D25" s="22">
        <v>2</v>
      </c>
      <c r="E25" s="29"/>
      <c r="F25" s="29"/>
      <c r="G25" s="29"/>
      <c r="H25" s="29">
        <v>1</v>
      </c>
      <c r="I25" s="11">
        <f t="shared" si="1"/>
        <v>1</v>
      </c>
      <c r="J25" s="12">
        <f t="shared" si="0"/>
        <v>800000</v>
      </c>
      <c r="L25" s="69"/>
      <c r="M25" s="69"/>
      <c r="N25" s="69"/>
      <c r="O25" s="70"/>
      <c r="P25" s="69"/>
      <c r="Q25" s="70"/>
      <c r="R25" s="70"/>
    </row>
    <row r="26" spans="1:18" ht="15.75" customHeight="1" x14ac:dyDescent="0.3">
      <c r="A26" s="5" t="s">
        <v>12</v>
      </c>
      <c r="B26" s="11"/>
      <c r="C26" s="12">
        <v>460000</v>
      </c>
      <c r="D26" s="22">
        <v>2</v>
      </c>
      <c r="E26" s="29"/>
      <c r="F26" s="29"/>
      <c r="G26" s="29"/>
      <c r="H26" s="29">
        <v>2</v>
      </c>
      <c r="I26" s="11">
        <f t="shared" si="1"/>
        <v>0</v>
      </c>
      <c r="J26" s="12">
        <f t="shared" si="0"/>
        <v>0</v>
      </c>
      <c r="L26" s="72"/>
      <c r="M26" s="72"/>
      <c r="N26" s="72"/>
      <c r="O26" s="70"/>
      <c r="P26" s="70"/>
      <c r="Q26" s="70"/>
      <c r="R26" s="70"/>
    </row>
    <row r="27" spans="1:18" ht="15.75" customHeight="1" x14ac:dyDescent="0.3">
      <c r="A27" s="5" t="s">
        <v>39</v>
      </c>
      <c r="B27" s="13"/>
      <c r="C27" s="14">
        <v>260000</v>
      </c>
      <c r="D27" s="22">
        <v>5</v>
      </c>
      <c r="E27" s="36"/>
      <c r="F27" s="36"/>
      <c r="G27" s="34"/>
      <c r="H27" s="34">
        <v>3</v>
      </c>
      <c r="I27" s="11">
        <f t="shared" si="1"/>
        <v>2</v>
      </c>
      <c r="J27" s="12">
        <f t="shared" si="0"/>
        <v>520000</v>
      </c>
      <c r="L27" s="69"/>
      <c r="M27" s="69"/>
      <c r="N27" s="69"/>
      <c r="O27" s="70"/>
      <c r="P27" s="70"/>
      <c r="Q27" s="70"/>
      <c r="R27" s="70"/>
    </row>
    <row r="28" spans="1:18" ht="15.75" customHeight="1" x14ac:dyDescent="0.3">
      <c r="A28" s="6" t="s">
        <v>40</v>
      </c>
      <c r="B28" s="16"/>
      <c r="C28" s="17"/>
      <c r="D28" s="23"/>
      <c r="E28" s="35"/>
      <c r="F28" s="35"/>
      <c r="G28" s="33"/>
      <c r="H28" s="33"/>
      <c r="I28" s="33"/>
      <c r="J28" s="18"/>
      <c r="L28" s="69"/>
      <c r="M28" s="69"/>
      <c r="N28" s="69"/>
      <c r="O28" s="70"/>
      <c r="P28" s="70"/>
      <c r="Q28" s="70"/>
      <c r="R28" s="70"/>
    </row>
    <row r="29" spans="1:18" ht="15.75" customHeight="1" x14ac:dyDescent="0.3">
      <c r="A29" s="5" t="s">
        <v>14</v>
      </c>
      <c r="B29" s="11"/>
      <c r="C29" s="12">
        <v>350000</v>
      </c>
      <c r="D29" s="22">
        <v>4</v>
      </c>
      <c r="E29" s="29"/>
      <c r="F29" s="29"/>
      <c r="G29" s="29"/>
      <c r="H29" s="29">
        <v>3</v>
      </c>
      <c r="I29" s="11">
        <f t="shared" si="1"/>
        <v>1</v>
      </c>
      <c r="J29" s="12">
        <f t="shared" si="0"/>
        <v>350000</v>
      </c>
      <c r="L29" s="72"/>
      <c r="M29" s="72"/>
      <c r="N29" s="72"/>
      <c r="O29" s="70"/>
      <c r="P29" s="70"/>
      <c r="Q29" s="70"/>
      <c r="R29" s="70"/>
    </row>
    <row r="30" spans="1:18" ht="15.6" x14ac:dyDescent="0.3">
      <c r="A30" s="5" t="s">
        <v>41</v>
      </c>
      <c r="B30" s="11"/>
      <c r="C30" s="12">
        <v>160000</v>
      </c>
      <c r="D30" s="22">
        <v>5</v>
      </c>
      <c r="E30" s="29"/>
      <c r="F30" s="29"/>
      <c r="G30" s="29"/>
      <c r="H30" s="29">
        <v>5</v>
      </c>
      <c r="I30" s="11">
        <f t="shared" si="1"/>
        <v>0</v>
      </c>
      <c r="J30" s="12">
        <f t="shared" si="0"/>
        <v>0</v>
      </c>
      <c r="L30" s="69"/>
      <c r="M30" s="69"/>
      <c r="N30" s="69"/>
      <c r="O30" s="70"/>
      <c r="P30" s="70"/>
      <c r="Q30" s="70"/>
      <c r="R30" s="70"/>
    </row>
    <row r="31" spans="1:18" ht="15.6" x14ac:dyDescent="0.3">
      <c r="A31" s="5" t="s">
        <v>42</v>
      </c>
      <c r="B31" s="13"/>
      <c r="C31" s="14">
        <v>160000</v>
      </c>
      <c r="D31" s="22">
        <v>15</v>
      </c>
      <c r="E31" s="28"/>
      <c r="F31" s="28"/>
      <c r="G31" s="32"/>
      <c r="H31" s="32">
        <v>14</v>
      </c>
      <c r="I31" s="11">
        <f t="shared" si="1"/>
        <v>1</v>
      </c>
      <c r="J31" s="12">
        <f t="shared" si="0"/>
        <v>160000</v>
      </c>
      <c r="L31" s="69"/>
      <c r="M31" s="69"/>
      <c r="N31" s="69"/>
      <c r="O31" s="70"/>
      <c r="P31" s="70"/>
      <c r="Q31" s="70"/>
      <c r="R31" s="70"/>
    </row>
    <row r="32" spans="1:18" ht="15.6" x14ac:dyDescent="0.3">
      <c r="A32" s="6" t="s">
        <v>43</v>
      </c>
      <c r="B32" s="16"/>
      <c r="C32" s="17"/>
      <c r="D32" s="23"/>
      <c r="E32" s="35"/>
      <c r="F32" s="35"/>
      <c r="G32" s="33"/>
      <c r="H32" s="33"/>
      <c r="I32" s="33"/>
      <c r="J32" s="18"/>
      <c r="L32" s="69"/>
      <c r="M32" s="69"/>
      <c r="N32" s="69"/>
      <c r="O32" s="70"/>
      <c r="P32" s="70"/>
      <c r="Q32" s="70"/>
      <c r="R32" s="70"/>
    </row>
    <row r="33" spans="1:18" ht="15.6" x14ac:dyDescent="0.3">
      <c r="A33" s="5" t="s">
        <v>13</v>
      </c>
      <c r="B33" s="11"/>
      <c r="C33" s="12">
        <v>360000</v>
      </c>
      <c r="D33" s="22">
        <v>1</v>
      </c>
      <c r="E33" s="29"/>
      <c r="F33" s="29"/>
      <c r="G33" s="29"/>
      <c r="H33" s="29">
        <v>1</v>
      </c>
      <c r="I33" s="11">
        <f t="shared" si="1"/>
        <v>0</v>
      </c>
      <c r="J33" s="12">
        <f t="shared" si="0"/>
        <v>0</v>
      </c>
      <c r="L33" s="72"/>
      <c r="M33" s="72"/>
      <c r="N33" s="72"/>
      <c r="O33" s="70"/>
      <c r="P33" s="70"/>
      <c r="Q33" s="70"/>
      <c r="R33" s="70"/>
    </row>
    <row r="34" spans="1:18" ht="15.6" x14ac:dyDescent="0.3">
      <c r="A34" s="5" t="s">
        <v>44</v>
      </c>
      <c r="B34" s="13"/>
      <c r="C34" s="14">
        <v>260000</v>
      </c>
      <c r="D34" s="22">
        <v>5</v>
      </c>
      <c r="E34" s="28"/>
      <c r="F34" s="28">
        <v>2</v>
      </c>
      <c r="G34" s="32"/>
      <c r="H34" s="32">
        <v>1</v>
      </c>
      <c r="I34" s="11">
        <f t="shared" si="1"/>
        <v>2</v>
      </c>
      <c r="J34" s="12">
        <f t="shared" si="0"/>
        <v>520000</v>
      </c>
      <c r="L34" s="69"/>
      <c r="M34" s="69"/>
      <c r="N34" s="69"/>
      <c r="O34" s="70"/>
      <c r="P34" s="70"/>
      <c r="Q34" s="70"/>
      <c r="R34" s="70"/>
    </row>
    <row r="35" spans="1:18" ht="15.6" x14ac:dyDescent="0.3">
      <c r="A35" s="7" t="s">
        <v>45</v>
      </c>
      <c r="B35" s="16"/>
      <c r="C35" s="17"/>
      <c r="D35" s="24"/>
      <c r="E35" s="35"/>
      <c r="F35" s="35"/>
      <c r="G35" s="33"/>
      <c r="H35" s="33"/>
      <c r="I35" s="33"/>
      <c r="J35" s="18"/>
      <c r="L35" s="69"/>
      <c r="M35" s="69"/>
      <c r="N35" s="69"/>
      <c r="O35" s="70"/>
      <c r="P35" s="70"/>
      <c r="Q35" s="70"/>
      <c r="R35" s="70"/>
    </row>
    <row r="36" spans="1:18" ht="15.6" x14ac:dyDescent="0.3">
      <c r="A36" s="5" t="s">
        <v>46</v>
      </c>
      <c r="B36" s="11"/>
      <c r="C36" s="12">
        <v>180000</v>
      </c>
      <c r="D36" s="22">
        <v>8</v>
      </c>
      <c r="E36" s="29"/>
      <c r="F36" s="29"/>
      <c r="G36" s="29"/>
      <c r="H36" s="29">
        <v>8</v>
      </c>
      <c r="I36" s="11">
        <f t="shared" si="1"/>
        <v>0</v>
      </c>
      <c r="J36" s="12">
        <f t="shared" si="0"/>
        <v>0</v>
      </c>
      <c r="L36" s="69"/>
      <c r="M36" s="69"/>
      <c r="N36" s="69"/>
      <c r="O36" s="70"/>
      <c r="P36" s="70"/>
      <c r="Q36" s="70"/>
      <c r="R36" s="70"/>
    </row>
    <row r="37" spans="1:18" ht="15.6" x14ac:dyDescent="0.3">
      <c r="A37" s="5" t="s">
        <v>47</v>
      </c>
      <c r="B37" s="13"/>
      <c r="C37" s="14">
        <v>160000</v>
      </c>
      <c r="D37" s="22">
        <v>12</v>
      </c>
      <c r="E37" s="28"/>
      <c r="F37" s="28"/>
      <c r="G37" s="32"/>
      <c r="H37" s="32">
        <v>11</v>
      </c>
      <c r="I37" s="11">
        <f t="shared" si="1"/>
        <v>1</v>
      </c>
      <c r="J37" s="12">
        <f t="shared" si="0"/>
        <v>160000</v>
      </c>
      <c r="L37" s="69"/>
      <c r="M37" s="69"/>
      <c r="N37" s="69"/>
      <c r="O37" s="70"/>
      <c r="P37" s="70"/>
      <c r="Q37" s="70"/>
      <c r="R37" s="70"/>
    </row>
    <row r="38" spans="1:18" ht="15.6" x14ac:dyDescent="0.3">
      <c r="A38" s="7" t="s">
        <v>48</v>
      </c>
      <c r="B38" s="16"/>
      <c r="C38" s="17"/>
      <c r="D38" s="24"/>
      <c r="E38" s="35"/>
      <c r="F38" s="35"/>
      <c r="G38" s="33"/>
      <c r="H38" s="33"/>
      <c r="I38" s="33"/>
      <c r="J38" s="18"/>
      <c r="L38" s="69"/>
      <c r="M38" s="69"/>
      <c r="N38" s="69"/>
      <c r="O38" s="70"/>
      <c r="P38" s="70"/>
      <c r="Q38" s="70"/>
      <c r="R38" s="70"/>
    </row>
    <row r="39" spans="1:18" ht="15.6" x14ac:dyDescent="0.3">
      <c r="A39" s="5" t="s">
        <v>49</v>
      </c>
      <c r="B39" s="11"/>
      <c r="C39" s="12">
        <v>5000</v>
      </c>
      <c r="D39" s="22">
        <v>18</v>
      </c>
      <c r="E39" s="29">
        <v>18</v>
      </c>
      <c r="F39" s="29"/>
      <c r="G39" s="29"/>
      <c r="H39" s="29">
        <v>22</v>
      </c>
      <c r="I39" s="11">
        <f t="shared" si="1"/>
        <v>14</v>
      </c>
      <c r="J39" s="12">
        <f t="shared" si="0"/>
        <v>70000</v>
      </c>
      <c r="L39" s="69"/>
      <c r="M39" s="69"/>
      <c r="N39" s="69"/>
      <c r="O39" s="70"/>
      <c r="P39" s="70"/>
      <c r="Q39" s="70"/>
      <c r="R39" s="70"/>
    </row>
    <row r="40" spans="1:18" ht="15.6" x14ac:dyDescent="0.3">
      <c r="A40" s="5" t="s">
        <v>50</v>
      </c>
      <c r="B40" s="11"/>
      <c r="C40" s="12">
        <v>2000</v>
      </c>
      <c r="D40" s="22">
        <v>48</v>
      </c>
      <c r="E40" s="29"/>
      <c r="F40" s="29"/>
      <c r="G40" s="29"/>
      <c r="H40" s="29">
        <v>29</v>
      </c>
      <c r="I40" s="11">
        <f t="shared" si="1"/>
        <v>19</v>
      </c>
      <c r="J40" s="12">
        <f t="shared" si="0"/>
        <v>38000</v>
      </c>
      <c r="L40" s="69"/>
      <c r="M40" s="69"/>
      <c r="N40" s="69"/>
      <c r="O40" s="70"/>
      <c r="P40" s="70"/>
      <c r="Q40" s="70"/>
      <c r="R40" s="70"/>
    </row>
    <row r="41" spans="1:18" ht="15.6" x14ac:dyDescent="0.3">
      <c r="A41" s="5" t="s">
        <v>51</v>
      </c>
      <c r="B41" s="15"/>
      <c r="C41" s="14">
        <v>15000</v>
      </c>
      <c r="D41" s="22">
        <v>20</v>
      </c>
      <c r="E41" s="32"/>
      <c r="F41" s="32">
        <v>2</v>
      </c>
      <c r="G41" s="32"/>
      <c r="H41" s="32">
        <v>10</v>
      </c>
      <c r="I41" s="11">
        <f t="shared" si="1"/>
        <v>8</v>
      </c>
      <c r="J41" s="12">
        <f t="shared" si="0"/>
        <v>120000</v>
      </c>
      <c r="L41" s="69"/>
      <c r="M41" s="69"/>
      <c r="N41" s="69"/>
      <c r="O41" s="70"/>
      <c r="P41" s="70"/>
      <c r="Q41" s="70"/>
      <c r="R41" s="70"/>
    </row>
    <row r="42" spans="1:18" ht="15.6" x14ac:dyDescent="0.3">
      <c r="A42" s="8" t="s">
        <v>58</v>
      </c>
      <c r="B42" s="11"/>
      <c r="C42" s="12">
        <v>260000</v>
      </c>
      <c r="D42" s="22">
        <v>6</v>
      </c>
      <c r="E42" s="29"/>
      <c r="F42" s="29"/>
      <c r="G42" s="29"/>
      <c r="H42" s="29">
        <v>5</v>
      </c>
      <c r="I42" s="11">
        <f t="shared" si="1"/>
        <v>1</v>
      </c>
      <c r="J42" s="12">
        <f t="shared" si="0"/>
        <v>260000</v>
      </c>
      <c r="L42" s="69"/>
      <c r="M42" s="69"/>
      <c r="N42" s="69"/>
      <c r="O42" s="70"/>
      <c r="P42" s="70"/>
      <c r="Q42" s="70"/>
      <c r="R42" s="70"/>
    </row>
    <row r="43" spans="1:18" ht="14.4" x14ac:dyDescent="0.3">
      <c r="A43" s="4"/>
      <c r="B43" s="4"/>
      <c r="C43" s="4"/>
      <c r="D43" s="4"/>
      <c r="E43" s="4"/>
      <c r="F43" s="4"/>
      <c r="G43" s="4"/>
      <c r="H43" s="4"/>
      <c r="I43" s="9" t="s">
        <v>22</v>
      </c>
      <c r="J43" s="10">
        <f>SUM(J3:J42)</f>
        <v>10651000</v>
      </c>
      <c r="L43" s="72"/>
      <c r="M43" s="72"/>
      <c r="N43" s="72"/>
      <c r="O43" s="70"/>
      <c r="P43" s="70"/>
      <c r="Q43" s="70"/>
      <c r="R43" s="70"/>
    </row>
    <row r="44" spans="1:18" ht="15.75" customHeight="1" x14ac:dyDescent="0.25">
      <c r="L44" s="69"/>
      <c r="M44" s="69"/>
      <c r="N44" s="69"/>
      <c r="O44" s="70"/>
      <c r="P44" s="70"/>
      <c r="Q44" s="70"/>
      <c r="R44" s="70"/>
    </row>
    <row r="45" spans="1:18" ht="15.75" customHeight="1" x14ac:dyDescent="0.25">
      <c r="L45" s="69"/>
      <c r="M45" s="69"/>
      <c r="N45" s="69"/>
      <c r="O45" s="70"/>
      <c r="P45" s="70"/>
      <c r="Q45" s="70"/>
      <c r="R45" s="70"/>
    </row>
    <row r="46" spans="1:18" ht="15.75" customHeight="1" x14ac:dyDescent="0.3">
      <c r="L46" s="68"/>
      <c r="M46" s="70"/>
      <c r="N46" s="69"/>
      <c r="O46" s="70"/>
      <c r="P46" s="70"/>
      <c r="Q46" s="70"/>
      <c r="R46" s="70"/>
    </row>
    <row r="47" spans="1:18" ht="15.75" customHeight="1" x14ac:dyDescent="0.25">
      <c r="L47" s="69"/>
      <c r="M47" s="70"/>
      <c r="N47" s="70"/>
      <c r="O47" s="70"/>
      <c r="P47" s="70"/>
      <c r="Q47" s="70"/>
      <c r="R47" s="70"/>
    </row>
    <row r="48" spans="1:18" ht="15.75" customHeight="1" x14ac:dyDescent="0.25">
      <c r="L48" s="25"/>
    </row>
    <row r="49" spans="12:12" ht="15.75" customHeight="1" x14ac:dyDescent="0.25">
      <c r="L49" s="26"/>
    </row>
    <row r="50" spans="12:12" ht="15.75" customHeight="1" x14ac:dyDescent="0.25">
      <c r="L50" s="26"/>
    </row>
    <row r="51" spans="12:12" ht="15.75" customHeight="1" x14ac:dyDescent="0.25">
      <c r="L51" s="26"/>
    </row>
    <row r="52" spans="12:12" ht="15.75" customHeight="1" x14ac:dyDescent="0.25">
      <c r="L52" s="2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C2FD-DDC4-4D6F-B5B7-1F896E2B68A3}">
  <dimension ref="A1:G62"/>
  <sheetViews>
    <sheetView topLeftCell="A41" workbookViewId="0">
      <selection activeCell="H36" sqref="H36"/>
    </sheetView>
  </sheetViews>
  <sheetFormatPr baseColWidth="10" defaultRowHeight="13.2" x14ac:dyDescent="0.25"/>
  <cols>
    <col min="2" max="2" width="28.6640625" customWidth="1"/>
    <col min="4" max="4" width="19.21875" customWidth="1"/>
    <col min="5" max="5" width="21.5546875" customWidth="1"/>
    <col min="6" max="6" width="20.33203125" customWidth="1"/>
  </cols>
  <sheetData>
    <row r="1" spans="1:7" ht="18" x14ac:dyDescent="0.35">
      <c r="A1" s="50" t="s">
        <v>74</v>
      </c>
      <c r="B1" s="50"/>
      <c r="C1" s="50"/>
      <c r="D1" s="50"/>
      <c r="E1" s="50"/>
      <c r="F1" s="50"/>
      <c r="G1" s="50"/>
    </row>
    <row r="2" spans="1:7" ht="14.4" x14ac:dyDescent="0.25">
      <c r="A2" s="40" t="s">
        <v>75</v>
      </c>
      <c r="B2" s="40" t="s">
        <v>66</v>
      </c>
      <c r="C2" s="40" t="s">
        <v>76</v>
      </c>
      <c r="D2" s="40" t="s">
        <v>77</v>
      </c>
      <c r="E2" s="40" t="s">
        <v>78</v>
      </c>
      <c r="F2" s="40" t="s">
        <v>79</v>
      </c>
      <c r="G2" s="40" t="s">
        <v>80</v>
      </c>
    </row>
    <row r="3" spans="1:7" x14ac:dyDescent="0.25">
      <c r="A3" s="21" t="s">
        <v>114</v>
      </c>
      <c r="B3" s="21" t="s">
        <v>65</v>
      </c>
      <c r="C3" s="21">
        <v>2</v>
      </c>
      <c r="D3" s="51">
        <v>15000</v>
      </c>
      <c r="E3" s="51">
        <v>30000</v>
      </c>
      <c r="F3" s="21" t="s">
        <v>88</v>
      </c>
      <c r="G3" s="21" t="s">
        <v>69</v>
      </c>
    </row>
    <row r="4" spans="1:7" x14ac:dyDescent="0.25">
      <c r="A4" s="21" t="s">
        <v>114</v>
      </c>
      <c r="B4" s="21" t="s">
        <v>19</v>
      </c>
      <c r="C4" s="21">
        <v>5</v>
      </c>
      <c r="D4" s="51">
        <v>18000</v>
      </c>
      <c r="E4" s="51">
        <v>90000</v>
      </c>
      <c r="F4" s="21" t="s">
        <v>72</v>
      </c>
      <c r="G4" s="21" t="s">
        <v>69</v>
      </c>
    </row>
    <row r="5" spans="1:7" x14ac:dyDescent="0.25">
      <c r="A5" s="21" t="s">
        <v>115</v>
      </c>
      <c r="B5" s="21" t="s">
        <v>23</v>
      </c>
      <c r="C5" s="21">
        <v>5</v>
      </c>
      <c r="D5" s="51">
        <v>16000</v>
      </c>
      <c r="E5" s="51">
        <v>80000</v>
      </c>
      <c r="F5" s="21" t="s">
        <v>72</v>
      </c>
      <c r="G5" s="21" t="s">
        <v>69</v>
      </c>
    </row>
    <row r="6" spans="1:7" x14ac:dyDescent="0.25">
      <c r="A6" s="21" t="s">
        <v>115</v>
      </c>
      <c r="B6" s="21" t="s">
        <v>28</v>
      </c>
      <c r="C6" s="21">
        <v>2</v>
      </c>
      <c r="D6" s="51">
        <v>16000</v>
      </c>
      <c r="E6" s="51">
        <v>32000</v>
      </c>
      <c r="F6" s="21" t="s">
        <v>116</v>
      </c>
      <c r="G6" s="21" t="s">
        <v>69</v>
      </c>
    </row>
    <row r="7" spans="1:7" x14ac:dyDescent="0.25">
      <c r="A7" s="21" t="s">
        <v>117</v>
      </c>
      <c r="B7" s="21" t="s">
        <v>18</v>
      </c>
      <c r="C7" s="21">
        <v>4</v>
      </c>
      <c r="D7" s="51">
        <v>12000</v>
      </c>
      <c r="E7" s="51">
        <v>48000</v>
      </c>
      <c r="F7" s="21" t="s">
        <v>118</v>
      </c>
      <c r="G7" s="21" t="s">
        <v>69</v>
      </c>
    </row>
    <row r="8" spans="1:7" x14ac:dyDescent="0.25">
      <c r="A8" s="21" t="s">
        <v>117</v>
      </c>
      <c r="B8" s="21" t="s">
        <v>18</v>
      </c>
      <c r="C8" s="21">
        <v>2</v>
      </c>
      <c r="D8" s="51">
        <v>12000</v>
      </c>
      <c r="E8" s="51">
        <v>24000</v>
      </c>
      <c r="F8" s="21" t="s">
        <v>119</v>
      </c>
      <c r="G8" s="21" t="s">
        <v>69</v>
      </c>
    </row>
    <row r="9" spans="1:7" x14ac:dyDescent="0.25">
      <c r="A9" s="21" t="s">
        <v>117</v>
      </c>
      <c r="B9" s="21" t="s">
        <v>18</v>
      </c>
      <c r="C9" s="21">
        <v>4</v>
      </c>
      <c r="D9" s="51">
        <v>12000</v>
      </c>
      <c r="E9" s="51">
        <v>48000</v>
      </c>
      <c r="F9" s="21" t="s">
        <v>120</v>
      </c>
      <c r="G9" s="21" t="s">
        <v>69</v>
      </c>
    </row>
    <row r="10" spans="1:7" x14ac:dyDescent="0.25">
      <c r="A10" s="21" t="s">
        <v>121</v>
      </c>
      <c r="B10" s="21" t="s">
        <v>18</v>
      </c>
      <c r="C10" s="21">
        <v>2</v>
      </c>
      <c r="D10" s="51">
        <v>12000</v>
      </c>
      <c r="E10" s="51">
        <v>24000</v>
      </c>
      <c r="F10" s="21" t="s">
        <v>122</v>
      </c>
      <c r="G10" s="21" t="s">
        <v>69</v>
      </c>
    </row>
    <row r="11" spans="1:7" x14ac:dyDescent="0.25">
      <c r="A11" s="21" t="s">
        <v>123</v>
      </c>
      <c r="B11" s="21" t="s">
        <v>28</v>
      </c>
      <c r="C11" s="21">
        <v>1</v>
      </c>
      <c r="D11" s="51">
        <v>16000</v>
      </c>
      <c r="E11" s="51">
        <v>16000</v>
      </c>
      <c r="F11" s="21" t="s">
        <v>122</v>
      </c>
      <c r="G11" s="21" t="s">
        <v>69</v>
      </c>
    </row>
    <row r="12" spans="1:7" x14ac:dyDescent="0.25">
      <c r="A12" s="21" t="s">
        <v>123</v>
      </c>
      <c r="B12" s="21" t="s">
        <v>28</v>
      </c>
      <c r="C12" s="21">
        <v>1</v>
      </c>
      <c r="D12" s="51">
        <v>16000</v>
      </c>
      <c r="E12" s="51">
        <v>16000</v>
      </c>
      <c r="F12" s="21" t="s">
        <v>122</v>
      </c>
      <c r="G12" s="21" t="s">
        <v>69</v>
      </c>
    </row>
    <row r="13" spans="1:7" x14ac:dyDescent="0.25">
      <c r="A13" s="21" t="s">
        <v>124</v>
      </c>
      <c r="B13" s="21" t="s">
        <v>64</v>
      </c>
      <c r="C13" s="21">
        <v>1</v>
      </c>
      <c r="D13" s="51">
        <v>25000</v>
      </c>
      <c r="E13" s="51">
        <v>25000</v>
      </c>
      <c r="F13" s="21" t="s">
        <v>122</v>
      </c>
      <c r="G13" s="21" t="s">
        <v>69</v>
      </c>
    </row>
    <row r="14" spans="1:7" x14ac:dyDescent="0.25">
      <c r="A14" s="21" t="s">
        <v>124</v>
      </c>
      <c r="B14" s="21" t="s">
        <v>57</v>
      </c>
      <c r="C14" s="21">
        <v>1</v>
      </c>
      <c r="D14" s="51">
        <v>260000</v>
      </c>
      <c r="E14" s="51">
        <v>260000</v>
      </c>
      <c r="F14" s="21" t="s">
        <v>122</v>
      </c>
      <c r="G14" s="21" t="s">
        <v>69</v>
      </c>
    </row>
    <row r="15" spans="1:7" x14ac:dyDescent="0.25">
      <c r="A15" s="21" t="s">
        <v>124</v>
      </c>
      <c r="B15" s="21" t="s">
        <v>24</v>
      </c>
      <c r="C15" s="21">
        <v>2</v>
      </c>
      <c r="D15" s="51">
        <v>12000</v>
      </c>
      <c r="E15" s="51">
        <v>24000</v>
      </c>
      <c r="F15" s="21" t="s">
        <v>122</v>
      </c>
      <c r="G15" s="21" t="s">
        <v>69</v>
      </c>
    </row>
    <row r="16" spans="1:7" x14ac:dyDescent="0.25">
      <c r="A16" s="21" t="s">
        <v>125</v>
      </c>
      <c r="B16" s="21" t="s">
        <v>57</v>
      </c>
      <c r="C16" s="21">
        <v>1</v>
      </c>
      <c r="D16" s="51">
        <v>260000</v>
      </c>
      <c r="E16" s="51">
        <v>260000</v>
      </c>
      <c r="F16" s="21" t="s">
        <v>126</v>
      </c>
      <c r="G16" s="21" t="s">
        <v>69</v>
      </c>
    </row>
    <row r="17" spans="1:7" x14ac:dyDescent="0.25">
      <c r="A17" s="21" t="s">
        <v>127</v>
      </c>
      <c r="B17" s="21" t="s">
        <v>24</v>
      </c>
      <c r="C17" s="21">
        <v>2</v>
      </c>
      <c r="D17" s="51">
        <v>12000</v>
      </c>
      <c r="E17" s="51">
        <v>24000</v>
      </c>
      <c r="F17" s="21" t="s">
        <v>126</v>
      </c>
      <c r="G17" s="21" t="s">
        <v>69</v>
      </c>
    </row>
    <row r="18" spans="1:7" x14ac:dyDescent="0.25">
      <c r="A18" s="21" t="s">
        <v>128</v>
      </c>
      <c r="B18" s="21" t="s">
        <v>18</v>
      </c>
      <c r="C18" s="21">
        <v>1</v>
      </c>
      <c r="D18" s="51">
        <v>12000</v>
      </c>
      <c r="E18" s="51">
        <v>12000</v>
      </c>
      <c r="F18" s="21" t="s">
        <v>129</v>
      </c>
      <c r="G18" s="21" t="s">
        <v>69</v>
      </c>
    </row>
    <row r="19" spans="1:7" x14ac:dyDescent="0.25">
      <c r="A19" s="21" t="s">
        <v>130</v>
      </c>
      <c r="B19" s="21" t="s">
        <v>23</v>
      </c>
      <c r="C19" s="21">
        <v>1</v>
      </c>
      <c r="D19" s="51">
        <v>16000</v>
      </c>
      <c r="E19" s="51">
        <v>16000</v>
      </c>
      <c r="F19" s="21" t="s">
        <v>129</v>
      </c>
      <c r="G19" s="21" t="s">
        <v>69</v>
      </c>
    </row>
    <row r="20" spans="1:7" x14ac:dyDescent="0.25">
      <c r="A20" s="21" t="s">
        <v>131</v>
      </c>
      <c r="B20" s="21" t="s">
        <v>19</v>
      </c>
      <c r="C20" s="21">
        <v>1</v>
      </c>
      <c r="D20" s="51">
        <v>18000</v>
      </c>
      <c r="E20" s="51">
        <v>18000</v>
      </c>
      <c r="F20" s="21" t="s">
        <v>132</v>
      </c>
      <c r="G20" s="21" t="s">
        <v>69</v>
      </c>
    </row>
    <row r="21" spans="1:7" x14ac:dyDescent="0.25">
      <c r="A21" s="21" t="s">
        <v>131</v>
      </c>
      <c r="B21" s="21" t="s">
        <v>64</v>
      </c>
      <c r="C21" s="21">
        <v>1</v>
      </c>
      <c r="D21" s="51">
        <v>25000</v>
      </c>
      <c r="E21" s="51">
        <v>25000</v>
      </c>
      <c r="F21" s="21" t="s">
        <v>132</v>
      </c>
      <c r="G21" s="21" t="s">
        <v>69</v>
      </c>
    </row>
    <row r="22" spans="1:7" x14ac:dyDescent="0.25">
      <c r="A22" s="21" t="s">
        <v>133</v>
      </c>
      <c r="B22" s="21" t="s">
        <v>19</v>
      </c>
      <c r="C22" s="21">
        <v>1</v>
      </c>
      <c r="D22" s="51">
        <v>18000</v>
      </c>
      <c r="E22" s="51">
        <v>18000</v>
      </c>
      <c r="F22" s="21" t="s">
        <v>111</v>
      </c>
      <c r="G22" s="21" t="s">
        <v>69</v>
      </c>
    </row>
    <row r="23" spans="1:7" x14ac:dyDescent="0.25">
      <c r="A23" s="21" t="s">
        <v>134</v>
      </c>
      <c r="B23" s="21" t="s">
        <v>23</v>
      </c>
      <c r="C23" s="21">
        <v>1</v>
      </c>
      <c r="D23" s="51">
        <v>16000</v>
      </c>
      <c r="E23" s="51">
        <v>16000</v>
      </c>
      <c r="F23" s="21" t="s">
        <v>111</v>
      </c>
      <c r="G23" s="21" t="s">
        <v>69</v>
      </c>
    </row>
    <row r="24" spans="1:7" x14ac:dyDescent="0.25">
      <c r="A24" s="21" t="s">
        <v>135</v>
      </c>
      <c r="B24" s="21" t="s">
        <v>28</v>
      </c>
      <c r="C24" s="21">
        <v>1</v>
      </c>
      <c r="D24" s="51">
        <v>16000</v>
      </c>
      <c r="E24" s="51">
        <v>16000</v>
      </c>
      <c r="F24" s="21" t="s">
        <v>136</v>
      </c>
      <c r="G24" s="21" t="s">
        <v>69</v>
      </c>
    </row>
    <row r="25" spans="1:7" x14ac:dyDescent="0.25">
      <c r="A25" s="21" t="s">
        <v>135</v>
      </c>
      <c r="B25" s="21" t="s">
        <v>28</v>
      </c>
      <c r="C25" s="21">
        <v>2</v>
      </c>
      <c r="D25" s="51">
        <v>16000</v>
      </c>
      <c r="E25" s="51">
        <v>32000</v>
      </c>
      <c r="F25" s="21" t="s">
        <v>136</v>
      </c>
      <c r="G25" s="21" t="s">
        <v>69</v>
      </c>
    </row>
    <row r="26" spans="1:7" x14ac:dyDescent="0.25">
      <c r="A26" s="21" t="s">
        <v>137</v>
      </c>
      <c r="B26" s="21" t="s">
        <v>18</v>
      </c>
      <c r="C26" s="21">
        <v>3</v>
      </c>
      <c r="D26" s="51">
        <v>12000</v>
      </c>
      <c r="E26" s="51">
        <v>36000</v>
      </c>
      <c r="F26" s="21" t="s">
        <v>138</v>
      </c>
      <c r="G26" s="21" t="s">
        <v>69</v>
      </c>
    </row>
    <row r="27" spans="1:7" x14ac:dyDescent="0.25">
      <c r="A27" s="21" t="s">
        <v>137</v>
      </c>
      <c r="B27" s="21" t="s">
        <v>28</v>
      </c>
      <c r="C27" s="21">
        <v>2</v>
      </c>
      <c r="D27" s="51">
        <v>16000</v>
      </c>
      <c r="E27" s="51">
        <v>32000</v>
      </c>
      <c r="F27" s="21" t="s">
        <v>116</v>
      </c>
      <c r="G27" s="21" t="s">
        <v>69</v>
      </c>
    </row>
    <row r="28" spans="1:7" x14ac:dyDescent="0.25">
      <c r="A28" s="21" t="s">
        <v>139</v>
      </c>
      <c r="B28" s="21" t="s">
        <v>18</v>
      </c>
      <c r="C28" s="21">
        <v>1</v>
      </c>
      <c r="D28" s="51">
        <v>12000</v>
      </c>
      <c r="E28" s="51">
        <v>12000</v>
      </c>
      <c r="F28" s="21" t="s">
        <v>119</v>
      </c>
      <c r="G28" s="21" t="s">
        <v>69</v>
      </c>
    </row>
    <row r="30" spans="1:7" ht="18" x14ac:dyDescent="0.35">
      <c r="A30" s="50" t="s">
        <v>67</v>
      </c>
      <c r="B30" s="50"/>
      <c r="C30" s="50"/>
      <c r="D30" s="50"/>
    </row>
    <row r="31" spans="1:7" ht="14.4" x14ac:dyDescent="0.25">
      <c r="A31" s="40" t="s">
        <v>75</v>
      </c>
      <c r="B31" s="40" t="s">
        <v>66</v>
      </c>
      <c r="C31" s="40" t="s">
        <v>76</v>
      </c>
      <c r="D31" s="40" t="s">
        <v>146</v>
      </c>
    </row>
    <row r="32" spans="1:7" x14ac:dyDescent="0.25">
      <c r="A32" s="21"/>
      <c r="B32" s="21"/>
      <c r="C32" s="21"/>
      <c r="D32" s="21"/>
    </row>
    <row r="33" spans="1:4" x14ac:dyDescent="0.25">
      <c r="A33" s="21" t="s">
        <v>162</v>
      </c>
      <c r="B33" s="21" t="s">
        <v>19</v>
      </c>
      <c r="C33" s="21">
        <v>72</v>
      </c>
      <c r="D33" s="21" t="s">
        <v>68</v>
      </c>
    </row>
    <row r="34" spans="1:4" x14ac:dyDescent="0.25">
      <c r="A34" s="21" t="s">
        <v>162</v>
      </c>
      <c r="B34" s="21" t="s">
        <v>23</v>
      </c>
      <c r="C34" s="21">
        <v>240</v>
      </c>
      <c r="D34" s="21" t="s">
        <v>68</v>
      </c>
    </row>
    <row r="35" spans="1:4" x14ac:dyDescent="0.25">
      <c r="A35" s="21" t="s">
        <v>163</v>
      </c>
      <c r="B35" s="21" t="s">
        <v>18</v>
      </c>
      <c r="C35" s="21">
        <v>440</v>
      </c>
      <c r="D35" s="21" t="s">
        <v>68</v>
      </c>
    </row>
    <row r="36" spans="1:4" x14ac:dyDescent="0.25">
      <c r="A36" s="21" t="s">
        <v>163</v>
      </c>
      <c r="B36" s="21" t="s">
        <v>16</v>
      </c>
      <c r="C36" s="21">
        <v>24</v>
      </c>
      <c r="D36" s="21" t="s">
        <v>68</v>
      </c>
    </row>
    <row r="37" spans="1:4" x14ac:dyDescent="0.25">
      <c r="A37" s="21" t="s">
        <v>163</v>
      </c>
      <c r="B37" s="21" t="s">
        <v>24</v>
      </c>
      <c r="C37" s="21">
        <v>24</v>
      </c>
      <c r="D37" s="21" t="s">
        <v>68</v>
      </c>
    </row>
    <row r="38" spans="1:4" x14ac:dyDescent="0.25">
      <c r="A38" s="21" t="s">
        <v>163</v>
      </c>
      <c r="B38" s="21" t="s">
        <v>15</v>
      </c>
      <c r="C38" s="21">
        <v>24</v>
      </c>
      <c r="D38" s="21" t="s">
        <v>68</v>
      </c>
    </row>
    <row r="39" spans="1:4" x14ac:dyDescent="0.25">
      <c r="A39" s="21" t="s">
        <v>164</v>
      </c>
      <c r="B39" s="21" t="s">
        <v>20</v>
      </c>
      <c r="C39" s="21">
        <v>12</v>
      </c>
      <c r="D39" s="21" t="s">
        <v>68</v>
      </c>
    </row>
    <row r="40" spans="1:4" x14ac:dyDescent="0.25">
      <c r="A40" s="21" t="s">
        <v>164</v>
      </c>
      <c r="B40" s="21" t="s">
        <v>64</v>
      </c>
      <c r="C40" s="21">
        <v>48</v>
      </c>
      <c r="D40" s="21" t="s">
        <v>68</v>
      </c>
    </row>
    <row r="41" spans="1:4" x14ac:dyDescent="0.25">
      <c r="A41" s="21" t="s">
        <v>164</v>
      </c>
      <c r="B41" s="21" t="s">
        <v>27</v>
      </c>
      <c r="C41" s="21">
        <v>240</v>
      </c>
      <c r="D41" s="21" t="s">
        <v>68</v>
      </c>
    </row>
    <row r="42" spans="1:4" x14ac:dyDescent="0.25">
      <c r="A42" s="21" t="s">
        <v>164</v>
      </c>
      <c r="B42" s="21" t="s">
        <v>28</v>
      </c>
      <c r="C42" s="21">
        <v>96</v>
      </c>
      <c r="D42" s="21" t="s">
        <v>68</v>
      </c>
    </row>
    <row r="43" spans="1:4" x14ac:dyDescent="0.25">
      <c r="A43" s="21" t="s">
        <v>165</v>
      </c>
      <c r="B43" s="21" t="s">
        <v>30</v>
      </c>
      <c r="C43" s="21">
        <v>24</v>
      </c>
      <c r="D43" s="21" t="s">
        <v>68</v>
      </c>
    </row>
    <row r="44" spans="1:4" x14ac:dyDescent="0.25">
      <c r="A44" s="21" t="s">
        <v>165</v>
      </c>
      <c r="B44" s="21" t="s">
        <v>56</v>
      </c>
      <c r="C44" s="21">
        <v>4</v>
      </c>
      <c r="D44" s="21" t="s">
        <v>68</v>
      </c>
    </row>
    <row r="45" spans="1:4" x14ac:dyDescent="0.25">
      <c r="A45" s="21" t="s">
        <v>165</v>
      </c>
      <c r="B45" s="21" t="s">
        <v>55</v>
      </c>
      <c r="C45" s="21">
        <v>8</v>
      </c>
      <c r="D45" s="21" t="s">
        <v>68</v>
      </c>
    </row>
    <row r="46" spans="1:4" x14ac:dyDescent="0.25">
      <c r="A46" s="21" t="s">
        <v>166</v>
      </c>
      <c r="B46" s="21" t="s">
        <v>60</v>
      </c>
      <c r="C46" s="21">
        <v>4</v>
      </c>
      <c r="D46" s="21" t="s">
        <v>68</v>
      </c>
    </row>
    <row r="47" spans="1:4" x14ac:dyDescent="0.25">
      <c r="A47" s="21" t="s">
        <v>166</v>
      </c>
      <c r="B47" s="21" t="s">
        <v>10</v>
      </c>
      <c r="C47" s="21">
        <v>4</v>
      </c>
      <c r="D47" s="21" t="s">
        <v>68</v>
      </c>
    </row>
    <row r="48" spans="1:4" x14ac:dyDescent="0.25">
      <c r="A48" s="21" t="s">
        <v>166</v>
      </c>
      <c r="B48" s="21" t="s">
        <v>11</v>
      </c>
      <c r="C48" s="21">
        <v>2</v>
      </c>
      <c r="D48" s="21" t="s">
        <v>68</v>
      </c>
    </row>
    <row r="49" spans="1:4" x14ac:dyDescent="0.25">
      <c r="A49" s="21" t="s">
        <v>166</v>
      </c>
      <c r="B49" s="21" t="s">
        <v>12</v>
      </c>
      <c r="C49" s="21">
        <v>2</v>
      </c>
      <c r="D49" s="21" t="s">
        <v>68</v>
      </c>
    </row>
    <row r="50" spans="1:4" x14ac:dyDescent="0.25">
      <c r="A50" s="21" t="s">
        <v>166</v>
      </c>
      <c r="B50" s="21" t="s">
        <v>59</v>
      </c>
      <c r="C50" s="21">
        <v>5</v>
      </c>
      <c r="D50" s="21" t="s">
        <v>68</v>
      </c>
    </row>
    <row r="51" spans="1:4" x14ac:dyDescent="0.25">
      <c r="A51" s="21" t="s">
        <v>167</v>
      </c>
      <c r="B51" s="21" t="s">
        <v>53</v>
      </c>
      <c r="C51" s="21">
        <v>4</v>
      </c>
      <c r="D51" s="21" t="s">
        <v>68</v>
      </c>
    </row>
    <row r="52" spans="1:4" x14ac:dyDescent="0.25">
      <c r="A52" s="21" t="s">
        <v>167</v>
      </c>
      <c r="B52" s="21" t="s">
        <v>41</v>
      </c>
      <c r="C52" s="21">
        <v>5</v>
      </c>
      <c r="D52" s="21" t="s">
        <v>68</v>
      </c>
    </row>
    <row r="53" spans="1:4" x14ac:dyDescent="0.25">
      <c r="A53" s="21" t="s">
        <v>167</v>
      </c>
      <c r="B53" s="21" t="s">
        <v>42</v>
      </c>
      <c r="C53" s="21">
        <v>15</v>
      </c>
      <c r="D53" s="21" t="s">
        <v>68</v>
      </c>
    </row>
    <row r="54" spans="1:4" x14ac:dyDescent="0.25">
      <c r="A54" s="21" t="s">
        <v>167</v>
      </c>
      <c r="B54" s="21" t="s">
        <v>61</v>
      </c>
      <c r="C54" s="21">
        <v>1</v>
      </c>
      <c r="D54" s="21" t="s">
        <v>68</v>
      </c>
    </row>
    <row r="55" spans="1:4" x14ac:dyDescent="0.25">
      <c r="A55" s="21" t="s">
        <v>167</v>
      </c>
      <c r="B55" s="21" t="s">
        <v>57</v>
      </c>
      <c r="C55" s="21">
        <v>5</v>
      </c>
      <c r="D55" s="21" t="s">
        <v>68</v>
      </c>
    </row>
    <row r="56" spans="1:4" x14ac:dyDescent="0.25">
      <c r="A56" s="21" t="s">
        <v>168</v>
      </c>
      <c r="B56" s="21" t="s">
        <v>62</v>
      </c>
      <c r="C56" s="21">
        <v>8</v>
      </c>
      <c r="D56" s="21" t="s">
        <v>68</v>
      </c>
    </row>
    <row r="57" spans="1:4" x14ac:dyDescent="0.25">
      <c r="A57" s="21" t="s">
        <v>168</v>
      </c>
      <c r="B57" s="21" t="s">
        <v>54</v>
      </c>
      <c r="C57" s="21">
        <v>12</v>
      </c>
      <c r="D57" s="21" t="s">
        <v>68</v>
      </c>
    </row>
    <row r="58" spans="1:4" x14ac:dyDescent="0.25">
      <c r="A58" s="21" t="s">
        <v>168</v>
      </c>
      <c r="B58" s="21" t="s">
        <v>58</v>
      </c>
      <c r="C58" s="21">
        <v>6</v>
      </c>
      <c r="D58" s="21" t="s">
        <v>68</v>
      </c>
    </row>
    <row r="59" spans="1:4" x14ac:dyDescent="0.25">
      <c r="A59" s="21" t="s">
        <v>168</v>
      </c>
      <c r="B59" s="21" t="s">
        <v>63</v>
      </c>
      <c r="C59" s="21">
        <v>18</v>
      </c>
      <c r="D59" s="21" t="s">
        <v>68</v>
      </c>
    </row>
    <row r="60" spans="1:4" x14ac:dyDescent="0.25">
      <c r="A60" s="21" t="s">
        <v>168</v>
      </c>
      <c r="B60" s="21" t="s">
        <v>50</v>
      </c>
      <c r="C60" s="21">
        <v>48</v>
      </c>
      <c r="D60" s="21" t="s">
        <v>68</v>
      </c>
    </row>
    <row r="61" spans="1:4" x14ac:dyDescent="0.25">
      <c r="A61" s="21" t="s">
        <v>168</v>
      </c>
      <c r="B61" s="21" t="s">
        <v>65</v>
      </c>
      <c r="C61" s="21">
        <v>20</v>
      </c>
      <c r="D61" s="21" t="s">
        <v>68</v>
      </c>
    </row>
    <row r="62" spans="1:4" x14ac:dyDescent="0.25">
      <c r="A62" s="21" t="s">
        <v>169</v>
      </c>
      <c r="B62" s="21" t="s">
        <v>63</v>
      </c>
      <c r="C62" s="21">
        <v>18</v>
      </c>
      <c r="D62" s="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BODEGA PRINCIPAL</vt:lpstr>
      <vt:lpstr>BARRA ANDRES</vt:lpstr>
      <vt:lpstr>CORTESIAS ANDRES</vt:lpstr>
      <vt:lpstr>BARRA MAY</vt:lpstr>
      <vt:lpstr>CORTESIAS MAY</vt:lpstr>
      <vt:lpstr>BARRA BRANDON</vt:lpstr>
      <vt:lpstr>CORTESIAS BRANDON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diana marcela arango escobar</cp:lastModifiedBy>
  <dcterms:created xsi:type="dcterms:W3CDTF">2026-07-01T13:37:14Z</dcterms:created>
  <dcterms:modified xsi:type="dcterms:W3CDTF">2026-07-03T18:39:23Z</dcterms:modified>
</cp:coreProperties>
</file>