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22d8bc0accc0d32/Documentos/DAVID/sofware/"/>
    </mc:Choice>
  </mc:AlternateContent>
  <xr:revisionPtr revIDLastSave="0" documentId="8_{F5971A72-E45F-408A-8736-91565A9676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RRA (2)" sheetId="8" r:id="rId1"/>
    <sheet name="Hoja3" sheetId="9" r:id="rId2"/>
    <sheet name="INICIAL GLOBAL" sheetId="6" r:id="rId3"/>
    <sheet name="BARRA" sheetId="1" r:id="rId4"/>
    <sheet name="NOMIN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9" i="1" l="1"/>
  <c r="Q49" i="1"/>
  <c r="L33" i="1"/>
  <c r="O50" i="1"/>
  <c r="N50" i="1"/>
  <c r="L4" i="1"/>
  <c r="L5" i="1"/>
  <c r="L7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1" i="1"/>
  <c r="L34" i="1"/>
  <c r="L35" i="1"/>
  <c r="L36" i="1"/>
  <c r="L38" i="1"/>
  <c r="L42" i="1"/>
  <c r="L43" i="1"/>
  <c r="L3" i="1"/>
  <c r="E107" i="8"/>
  <c r="E106" i="8"/>
  <c r="E105" i="8"/>
  <c r="E104" i="8"/>
  <c r="E102" i="8"/>
  <c r="E101" i="8"/>
  <c r="E100" i="8"/>
  <c r="E98" i="8"/>
  <c r="E97" i="8"/>
  <c r="E96" i="8"/>
  <c r="E95" i="8"/>
  <c r="E94" i="8"/>
  <c r="E92" i="8"/>
  <c r="E91" i="8"/>
  <c r="E90" i="8"/>
  <c r="E89" i="8"/>
  <c r="E87" i="8"/>
  <c r="E86" i="8"/>
  <c r="E84" i="8"/>
  <c r="E83" i="8"/>
  <c r="E81" i="8"/>
  <c r="E80" i="8"/>
  <c r="E78" i="8"/>
  <c r="E77" i="8"/>
  <c r="E76" i="8"/>
  <c r="E74" i="8"/>
  <c r="E73" i="8"/>
  <c r="E72" i="8"/>
  <c r="E71" i="8"/>
  <c r="E69" i="8"/>
  <c r="E68" i="8"/>
  <c r="E67" i="8"/>
  <c r="E66" i="8"/>
  <c r="E65" i="8"/>
  <c r="E64" i="8"/>
  <c r="E63" i="8"/>
  <c r="E61" i="8"/>
  <c r="E60" i="8"/>
  <c r="U11" i="8"/>
  <c r="J55" i="1"/>
  <c r="L6" i="8"/>
  <c r="L9" i="8"/>
  <c r="L10" i="8"/>
  <c r="L15" i="8"/>
  <c r="L16" i="8"/>
  <c r="L30" i="8"/>
  <c r="L45" i="8"/>
  <c r="F4" i="8"/>
  <c r="F6" i="8"/>
  <c r="J6" i="8" s="1"/>
  <c r="F7" i="8"/>
  <c r="J7" i="8" s="1"/>
  <c r="K7" i="8" s="1"/>
  <c r="L7" i="8" s="1"/>
  <c r="F8" i="8"/>
  <c r="F9" i="8"/>
  <c r="J9" i="8" s="1"/>
  <c r="F10" i="8"/>
  <c r="J10" i="8" s="1"/>
  <c r="F11" i="8"/>
  <c r="J11" i="8" s="1"/>
  <c r="K11" i="8" s="1"/>
  <c r="L11" i="8" s="1"/>
  <c r="F12" i="8"/>
  <c r="F14" i="8"/>
  <c r="F15" i="8"/>
  <c r="J15" i="8" s="1"/>
  <c r="F16" i="8"/>
  <c r="J16" i="8" s="1"/>
  <c r="F17" i="8"/>
  <c r="F19" i="8"/>
  <c r="J19" i="8" s="1"/>
  <c r="K19" i="8" s="1"/>
  <c r="L19" i="8" s="1"/>
  <c r="F20" i="8"/>
  <c r="J20" i="8" s="1"/>
  <c r="K20" i="8" s="1"/>
  <c r="L20" i="8" s="1"/>
  <c r="F21" i="8"/>
  <c r="J21" i="8" s="1"/>
  <c r="K21" i="8" s="1"/>
  <c r="L21" i="8" s="1"/>
  <c r="F23" i="8"/>
  <c r="F24" i="8"/>
  <c r="F26" i="8"/>
  <c r="J26" i="8" s="1"/>
  <c r="K26" i="8" s="1"/>
  <c r="L26" i="8" s="1"/>
  <c r="F27" i="8"/>
  <c r="J27" i="8" s="1"/>
  <c r="K27" i="8" s="1"/>
  <c r="L27" i="8" s="1"/>
  <c r="F29" i="8"/>
  <c r="F30" i="8"/>
  <c r="J30" i="8" s="1"/>
  <c r="K30" i="8" s="1"/>
  <c r="F32" i="8"/>
  <c r="J32" i="8" s="1"/>
  <c r="K32" i="8" s="1"/>
  <c r="L32" i="8" s="1"/>
  <c r="F33" i="8"/>
  <c r="J33" i="8" s="1"/>
  <c r="K33" i="8" s="1"/>
  <c r="L33" i="8" s="1"/>
  <c r="F34" i="8"/>
  <c r="F35" i="8"/>
  <c r="F37" i="8"/>
  <c r="J37" i="8" s="1"/>
  <c r="K37" i="8" s="1"/>
  <c r="L37" i="8" s="1"/>
  <c r="F38" i="8"/>
  <c r="J38" i="8" s="1"/>
  <c r="K38" i="8" s="1"/>
  <c r="L38" i="8" s="1"/>
  <c r="F39" i="8"/>
  <c r="F40" i="8"/>
  <c r="J40" i="8" s="1"/>
  <c r="K40" i="8" s="1"/>
  <c r="L40" i="8" s="1"/>
  <c r="F41" i="8"/>
  <c r="J41" i="8" s="1"/>
  <c r="K41" i="8" s="1"/>
  <c r="L41" i="8" s="1"/>
  <c r="F43" i="8"/>
  <c r="J43" i="8" s="1"/>
  <c r="K43" i="8" s="1"/>
  <c r="L43" i="8" s="1"/>
  <c r="F44" i="8"/>
  <c r="F45" i="8"/>
  <c r="F47" i="8"/>
  <c r="J47" i="8" s="1"/>
  <c r="K47" i="8" s="1"/>
  <c r="F48" i="8"/>
  <c r="J48" i="8" s="1"/>
  <c r="K48" i="8" s="1"/>
  <c r="F49" i="8"/>
  <c r="F50" i="8"/>
  <c r="F3" i="8"/>
  <c r="J3" i="8" s="1"/>
  <c r="K3" i="8" s="1"/>
  <c r="L3" i="8" s="1"/>
  <c r="O56" i="8"/>
  <c r="O55" i="8"/>
  <c r="O54" i="8"/>
  <c r="J54" i="8"/>
  <c r="O53" i="8"/>
  <c r="J53" i="8"/>
  <c r="U43" i="8"/>
  <c r="U39" i="8"/>
  <c r="Q39" i="8"/>
  <c r="Q45" i="8" s="1"/>
  <c r="U33" i="8"/>
  <c r="Q31" i="8"/>
  <c r="Q30" i="8"/>
  <c r="T23" i="8"/>
  <c r="Q22" i="8"/>
  <c r="Q21" i="8"/>
  <c r="R18" i="8"/>
  <c r="Q13" i="8"/>
  <c r="Q12" i="8"/>
  <c r="Q11" i="8"/>
  <c r="Q10" i="8"/>
  <c r="Q9" i="8"/>
  <c r="Q8" i="8"/>
  <c r="Q7" i="8"/>
  <c r="Q6" i="8"/>
  <c r="Q5" i="8"/>
  <c r="Q4" i="8"/>
  <c r="Q3" i="8"/>
  <c r="H30" i="6"/>
  <c r="H35" i="6"/>
  <c r="H28" i="6"/>
  <c r="H27" i="6"/>
  <c r="O45" i="1"/>
  <c r="P18" i="1"/>
  <c r="F20" i="3"/>
  <c r="S39" i="1"/>
  <c r="S43" i="1"/>
  <c r="S33" i="1"/>
  <c r="R23" i="1"/>
  <c r="O39" i="1"/>
  <c r="O35" i="1"/>
  <c r="O31" i="1"/>
  <c r="O30" i="1"/>
  <c r="O26" i="1"/>
  <c r="O22" i="1"/>
  <c r="O21" i="1"/>
  <c r="J4" i="1"/>
  <c r="J6" i="1"/>
  <c r="J7" i="1"/>
  <c r="J8" i="1"/>
  <c r="J9" i="1"/>
  <c r="J10" i="1"/>
  <c r="J11" i="1"/>
  <c r="J12" i="1"/>
  <c r="J14" i="1"/>
  <c r="J15" i="1"/>
  <c r="J16" i="1"/>
  <c r="J17" i="1"/>
  <c r="J19" i="1"/>
  <c r="J20" i="1"/>
  <c r="J21" i="1"/>
  <c r="J23" i="1"/>
  <c r="J24" i="1"/>
  <c r="J26" i="1"/>
  <c r="J27" i="1"/>
  <c r="J29" i="1"/>
  <c r="J30" i="1"/>
  <c r="J32" i="1"/>
  <c r="J33" i="1"/>
  <c r="J34" i="1"/>
  <c r="J35" i="1"/>
  <c r="J37" i="1"/>
  <c r="J38" i="1"/>
  <c r="J39" i="1"/>
  <c r="J40" i="1"/>
  <c r="J41" i="1"/>
  <c r="J43" i="1"/>
  <c r="J45" i="1"/>
  <c r="J47" i="1"/>
  <c r="J48" i="1"/>
  <c r="J49" i="1"/>
  <c r="J50" i="1"/>
  <c r="J3" i="1"/>
  <c r="I3" i="1"/>
  <c r="I4" i="1"/>
  <c r="I6" i="1"/>
  <c r="I7" i="1"/>
  <c r="I8" i="1"/>
  <c r="I9" i="1"/>
  <c r="I10" i="1"/>
  <c r="I11" i="1"/>
  <c r="I12" i="1"/>
  <c r="I14" i="1"/>
  <c r="I15" i="1"/>
  <c r="I16" i="1"/>
  <c r="I17" i="1"/>
  <c r="I19" i="1"/>
  <c r="I20" i="1"/>
  <c r="I21" i="1"/>
  <c r="I23" i="1"/>
  <c r="I24" i="1"/>
  <c r="I26" i="1"/>
  <c r="I27" i="1"/>
  <c r="I29" i="1"/>
  <c r="I30" i="1"/>
  <c r="I32" i="1"/>
  <c r="I33" i="1"/>
  <c r="I34" i="1"/>
  <c r="I35" i="1"/>
  <c r="I37" i="1"/>
  <c r="I38" i="1"/>
  <c r="I39" i="1"/>
  <c r="I40" i="1"/>
  <c r="I41" i="1"/>
  <c r="I43" i="1"/>
  <c r="I44" i="1"/>
  <c r="J44" i="1" s="1"/>
  <c r="I45" i="1"/>
  <c r="I47" i="1"/>
  <c r="I48" i="1"/>
  <c r="I49" i="1"/>
  <c r="I50" i="1"/>
  <c r="J52" i="1"/>
  <c r="O12" i="1"/>
  <c r="F19" i="3"/>
  <c r="F18" i="3"/>
  <c r="M56" i="1"/>
  <c r="M55" i="1"/>
  <c r="M54" i="1"/>
  <c r="M53" i="1"/>
  <c r="M57" i="1" s="1"/>
  <c r="C27" i="3"/>
  <c r="J54" i="1" s="1"/>
  <c r="I16" i="3"/>
  <c r="O4" i="1"/>
  <c r="O5" i="1"/>
  <c r="O6" i="1"/>
  <c r="O7" i="1"/>
  <c r="O8" i="1"/>
  <c r="O9" i="1"/>
  <c r="O10" i="1"/>
  <c r="O11" i="1"/>
  <c r="O13" i="1"/>
  <c r="O3" i="1"/>
  <c r="F13" i="3"/>
  <c r="F14" i="3"/>
  <c r="F15" i="3"/>
  <c r="F16" i="3"/>
  <c r="F17" i="3"/>
  <c r="F21" i="3"/>
  <c r="F12" i="3"/>
  <c r="I28" i="6"/>
  <c r="J28" i="6" s="1"/>
  <c r="J50" i="6"/>
  <c r="I45" i="6"/>
  <c r="J45" i="6" s="1"/>
  <c r="I43" i="6"/>
  <c r="J43" i="6" s="1"/>
  <c r="I42" i="6"/>
  <c r="J42" i="6" s="1"/>
  <c r="D41" i="6"/>
  <c r="I41" i="6" s="1"/>
  <c r="J41" i="6" s="1"/>
  <c r="I39" i="6"/>
  <c r="J39" i="6" s="1"/>
  <c r="I38" i="6"/>
  <c r="J38" i="6" s="1"/>
  <c r="I37" i="6"/>
  <c r="J37" i="6" s="1"/>
  <c r="I36" i="6"/>
  <c r="J36" i="6" s="1"/>
  <c r="I35" i="6"/>
  <c r="J35" i="6" s="1"/>
  <c r="I33" i="6"/>
  <c r="J33" i="6" s="1"/>
  <c r="I32" i="6"/>
  <c r="J32" i="6" s="1"/>
  <c r="I31" i="6"/>
  <c r="J31" i="6" s="1"/>
  <c r="I30" i="6"/>
  <c r="J30" i="6" s="1"/>
  <c r="I27" i="6"/>
  <c r="J27" i="6" s="1"/>
  <c r="I25" i="6"/>
  <c r="J25" i="6" s="1"/>
  <c r="I24" i="6"/>
  <c r="J24" i="6" s="1"/>
  <c r="I22" i="6"/>
  <c r="J22" i="6" s="1"/>
  <c r="J21" i="6"/>
  <c r="I21" i="6"/>
  <c r="I19" i="6"/>
  <c r="J19" i="6" s="1"/>
  <c r="I18" i="6"/>
  <c r="J18" i="6" s="1"/>
  <c r="I17" i="6"/>
  <c r="J17" i="6" s="1"/>
  <c r="I15" i="6"/>
  <c r="J15" i="6" s="1"/>
  <c r="I14" i="6"/>
  <c r="J14" i="6" s="1"/>
  <c r="I12" i="6"/>
  <c r="J12" i="6" s="1"/>
  <c r="I11" i="6"/>
  <c r="J11" i="6" s="1"/>
  <c r="I10" i="6"/>
  <c r="J10" i="6" s="1"/>
  <c r="I9" i="6"/>
  <c r="J9" i="6" s="1"/>
  <c r="I8" i="6"/>
  <c r="J8" i="6" s="1"/>
  <c r="I7" i="6"/>
  <c r="J7" i="6" s="1"/>
  <c r="I6" i="6"/>
  <c r="J6" i="6" s="1"/>
  <c r="I4" i="6"/>
  <c r="J4" i="6" s="1"/>
  <c r="I3" i="6"/>
  <c r="J3" i="6" s="1"/>
  <c r="D43" i="1"/>
  <c r="L46" i="1" l="1"/>
  <c r="Q35" i="8"/>
  <c r="Q14" i="8"/>
  <c r="J56" i="8" s="1"/>
  <c r="J45" i="8"/>
  <c r="J35" i="8"/>
  <c r="K35" i="8" s="1"/>
  <c r="L35" i="8" s="1"/>
  <c r="J24" i="8"/>
  <c r="K24" i="8" s="1"/>
  <c r="L24" i="8" s="1"/>
  <c r="J14" i="8"/>
  <c r="K14" i="8" s="1"/>
  <c r="L14" i="8" s="1"/>
  <c r="J4" i="8"/>
  <c r="K4" i="8" s="1"/>
  <c r="L4" i="8" s="1"/>
  <c r="J49" i="8"/>
  <c r="K49" i="8" s="1"/>
  <c r="J39" i="8"/>
  <c r="K39" i="8" s="1"/>
  <c r="L39" i="8" s="1"/>
  <c r="J34" i="8"/>
  <c r="K34" i="8" s="1"/>
  <c r="L34" i="8" s="1"/>
  <c r="J23" i="8"/>
  <c r="K23" i="8" s="1"/>
  <c r="L23" i="8" s="1"/>
  <c r="J12" i="8"/>
  <c r="K12" i="8" s="1"/>
  <c r="L12" i="8" s="1"/>
  <c r="O57" i="8"/>
  <c r="J52" i="8" s="1"/>
  <c r="J44" i="8"/>
  <c r="K44" i="8" s="1"/>
  <c r="L44" i="8" s="1"/>
  <c r="J29" i="8"/>
  <c r="K29" i="8" s="1"/>
  <c r="L29" i="8" s="1"/>
  <c r="J17" i="8"/>
  <c r="K17" i="8" s="1"/>
  <c r="L17" i="8" s="1"/>
  <c r="J8" i="8"/>
  <c r="K8" i="8" s="1"/>
  <c r="L8" i="8" s="1"/>
  <c r="Q26" i="8"/>
  <c r="Q47" i="8" s="1"/>
  <c r="O14" i="1"/>
  <c r="J56" i="1" s="1"/>
  <c r="F22" i="3"/>
  <c r="J46" i="6"/>
  <c r="J51" i="6" s="1"/>
  <c r="L51" i="8" l="1"/>
  <c r="J51" i="8"/>
  <c r="J55" i="8" s="1"/>
  <c r="J57" i="8" s="1"/>
  <c r="J53" i="1"/>
  <c r="J51" i="1"/>
  <c r="J57" i="1" l="1"/>
</calcChain>
</file>

<file path=xl/sharedStrings.xml><?xml version="1.0" encoding="utf-8"?>
<sst xmlns="http://schemas.openxmlformats.org/spreadsheetml/2006/main" count="406" uniqueCount="148">
  <si>
    <t>Producto</t>
  </si>
  <si>
    <t xml:space="preserve">Presentacion </t>
  </si>
  <si>
    <t xml:space="preserve">Valor </t>
  </si>
  <si>
    <t xml:space="preserve">Inicial </t>
  </si>
  <si>
    <t>Recargas</t>
  </si>
  <si>
    <t>Cortesias</t>
  </si>
  <si>
    <t>Bajas</t>
  </si>
  <si>
    <t>Final</t>
  </si>
  <si>
    <t>Venta total producto</t>
  </si>
  <si>
    <t>Venta total</t>
  </si>
  <si>
    <t>Champane/ vinos</t>
  </si>
  <si>
    <t>MOET</t>
  </si>
  <si>
    <t>750 ml</t>
  </si>
  <si>
    <t>JP CHENET</t>
  </si>
  <si>
    <t xml:space="preserve">750 ml </t>
  </si>
  <si>
    <t>Tequila</t>
  </si>
  <si>
    <t>DON JULIO 70</t>
  </si>
  <si>
    <t>375 ml</t>
  </si>
  <si>
    <t>DON JULIO REPOSADO</t>
  </si>
  <si>
    <t>700 ml</t>
  </si>
  <si>
    <t>DON JULIO BLANCO</t>
  </si>
  <si>
    <t>OLMECA REPOSADO</t>
  </si>
  <si>
    <t>OLMECA SILVER</t>
  </si>
  <si>
    <t xml:space="preserve">Ginebras </t>
  </si>
  <si>
    <t>TANQUERAY LONDON</t>
  </si>
  <si>
    <t xml:space="preserve">GORDONS DRY </t>
  </si>
  <si>
    <t>Whisky</t>
  </si>
  <si>
    <t>BUCHANAN´S DELUXE</t>
  </si>
  <si>
    <t>BUCHANAN´S MASTER</t>
  </si>
  <si>
    <t>RED LABEL</t>
  </si>
  <si>
    <t>Vodka</t>
  </si>
  <si>
    <t>GREY GOOSE</t>
  </si>
  <si>
    <t>ABSOLUT</t>
  </si>
  <si>
    <t>Aguardiente</t>
  </si>
  <si>
    <t>BLANCO FIESTA 750ML</t>
  </si>
  <si>
    <t>BLANCO SIN AZÚCAR 750ML</t>
  </si>
  <si>
    <t>750ml</t>
  </si>
  <si>
    <t>Cervezas</t>
  </si>
  <si>
    <t>CORONA 355ML</t>
  </si>
  <si>
    <t>355 ml</t>
  </si>
  <si>
    <t>STELLA ARTOIS 330ML</t>
  </si>
  <si>
    <t>330 ml</t>
  </si>
  <si>
    <t>Mezcladores</t>
  </si>
  <si>
    <t>TONICA CANADA DRY</t>
  </si>
  <si>
    <t>200 ml</t>
  </si>
  <si>
    <t>GINGER</t>
  </si>
  <si>
    <t>300 ml</t>
  </si>
  <si>
    <t>SODA</t>
  </si>
  <si>
    <t>COCA COLA</t>
  </si>
  <si>
    <t>250 ml</t>
  </si>
  <si>
    <t xml:space="preserve">Bebidas </t>
  </si>
  <si>
    <t>AGUA</t>
  </si>
  <si>
    <t>500 ml</t>
  </si>
  <si>
    <t>AGUA CON GAS HATSU 300 ml</t>
  </si>
  <si>
    <t>RED BULL</t>
  </si>
  <si>
    <t>275 ml</t>
  </si>
  <si>
    <t>JUGO DEL VALLE</t>
  </si>
  <si>
    <t>Otros</t>
  </si>
  <si>
    <t xml:space="preserve">BOMBONES </t>
  </si>
  <si>
    <t>1 und</t>
  </si>
  <si>
    <t>CHICLES</t>
  </si>
  <si>
    <t>1und</t>
  </si>
  <si>
    <t>COCTELERIA</t>
  </si>
  <si>
    <t>Gin and tonic gordos</t>
  </si>
  <si>
    <t>TOTAL</t>
  </si>
  <si>
    <t>datafono</t>
  </si>
  <si>
    <t>efectivo</t>
  </si>
  <si>
    <t>total</t>
  </si>
  <si>
    <t>agua</t>
  </si>
  <si>
    <t>red bull</t>
  </si>
  <si>
    <t>stella</t>
  </si>
  <si>
    <t>del valle</t>
  </si>
  <si>
    <t>coca cola</t>
  </si>
  <si>
    <t>PATRON BLANCO</t>
  </si>
  <si>
    <t>PATRON CRISTALINO</t>
  </si>
  <si>
    <t>ELECTROLIT</t>
  </si>
  <si>
    <t>CIGARRILLOS</t>
  </si>
  <si>
    <t>MEDIA</t>
  </si>
  <si>
    <t>Delux</t>
  </si>
  <si>
    <t>Redbull</t>
  </si>
  <si>
    <t>Shot Olmeca</t>
  </si>
  <si>
    <t>Bodega</t>
  </si>
  <si>
    <t xml:space="preserve">David Molina </t>
  </si>
  <si>
    <t>Sebastian Moreno</t>
  </si>
  <si>
    <t>Andrés Wilches</t>
  </si>
  <si>
    <t>Pilar Andrea</t>
  </si>
  <si>
    <t>Roxana</t>
  </si>
  <si>
    <t>Admin</t>
  </si>
  <si>
    <t>Jefe Barra</t>
  </si>
  <si>
    <t>Aux Barra</t>
  </si>
  <si>
    <t>Caja</t>
  </si>
  <si>
    <t>Mesas</t>
  </si>
  <si>
    <t>Patinador</t>
  </si>
  <si>
    <t>Camilo</t>
  </si>
  <si>
    <t>EFECTIVO</t>
  </si>
  <si>
    <t>TANQUERAY LONDON DESCUENTO</t>
  </si>
  <si>
    <t>VODKA TONIC</t>
  </si>
  <si>
    <t>GIN TONIC</t>
  </si>
  <si>
    <t>DATAFONO</t>
  </si>
  <si>
    <t>NOMINA</t>
  </si>
  <si>
    <t>GASTOS</t>
  </si>
  <si>
    <t>COMPARATIVO</t>
  </si>
  <si>
    <t>OLMECA SHOTS</t>
  </si>
  <si>
    <t>Total nomina</t>
  </si>
  <si>
    <t>Gastos</t>
  </si>
  <si>
    <t>Abastecemos de occidente</t>
  </si>
  <si>
    <t>Licores Panama</t>
  </si>
  <si>
    <t>Valor</t>
  </si>
  <si>
    <t>Nomina</t>
  </si>
  <si>
    <t>Total Gastos</t>
  </si>
  <si>
    <t>Datafono 1</t>
  </si>
  <si>
    <t>Datafono 2</t>
  </si>
  <si>
    <t>Datafono 3</t>
  </si>
  <si>
    <t>Datafonos</t>
  </si>
  <si>
    <t>QR y Nequi</t>
  </si>
  <si>
    <t>Total Globlal</t>
  </si>
  <si>
    <t>TONICA</t>
  </si>
  <si>
    <t>Taquilla</t>
  </si>
  <si>
    <t>BUCHANANS DELUX</t>
  </si>
  <si>
    <t>Luz Neira</t>
  </si>
  <si>
    <t>Aseo</t>
  </si>
  <si>
    <t>beiker</t>
  </si>
  <si>
    <t>electrolite</t>
  </si>
  <si>
    <t>triden</t>
  </si>
  <si>
    <t>molina</t>
  </si>
  <si>
    <t>koleto</t>
  </si>
  <si>
    <t>gin tonic</t>
  </si>
  <si>
    <t>yeye</t>
  </si>
  <si>
    <t>ami</t>
  </si>
  <si>
    <t>don julio 70</t>
  </si>
  <si>
    <t>eli rojas</t>
  </si>
  <si>
    <t>don julio blanco</t>
  </si>
  <si>
    <t>ultimo dj</t>
  </si>
  <si>
    <t>stellla</t>
  </si>
  <si>
    <t xml:space="preserve">Valet </t>
  </si>
  <si>
    <t>Valet</t>
  </si>
  <si>
    <t>Agua</t>
  </si>
  <si>
    <t>BODEGA ARRIBA</t>
  </si>
  <si>
    <t>BODEGA ABAJO</t>
  </si>
  <si>
    <t>TOTAL A RECOGER</t>
  </si>
  <si>
    <t>INICIAL FACTURA</t>
  </si>
  <si>
    <t>FINAL BODEGA GLOBAL</t>
  </si>
  <si>
    <t>TOTAL A PAGAR</t>
  </si>
  <si>
    <t>MARTIN</t>
  </si>
  <si>
    <t>datafono 1</t>
  </si>
  <si>
    <t>datafono 2</t>
  </si>
  <si>
    <t>datafono 3</t>
  </si>
  <si>
    <t xml:space="preserve">qr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</si>
</sst>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 $]#,##0"/>
    <numFmt numFmtId="165" formatCode="_-* #,##0_-;\-* #,##0_-;_-* &quot;-&quot;??_-;_-@"/>
    <numFmt numFmtId="166" formatCode="_-&quot;$&quot;\ * #,##0_-;\-&quot;$&quot;\ * #,##0_-;_-&quot;$&quot;\ * &quot;-&quot;??_-;_-@_-"/>
  </numFmts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2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rgb="FFEA999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2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0" xfId="0" applyFont="1"/>
    <xf numFmtId="0" fontId="8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164" fontId="6" fillId="4" borderId="1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6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/>
    <xf numFmtId="3" fontId="4" fillId="4" borderId="1" xfId="0" applyNumberFormat="1" applyFont="1" applyFill="1" applyBorder="1"/>
    <xf numFmtId="165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/>
    <xf numFmtId="0" fontId="10" fillId="5" borderId="1" xfId="0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164" fontId="4" fillId="6" borderId="0" xfId="0" applyNumberFormat="1" applyFont="1" applyFill="1"/>
    <xf numFmtId="0" fontId="4" fillId="0" borderId="1" xfId="0" applyFont="1" applyBorder="1"/>
    <xf numFmtId="164" fontId="7" fillId="0" borderId="1" xfId="0" applyNumberFormat="1" applyFont="1" applyBorder="1"/>
    <xf numFmtId="164" fontId="4" fillId="0" borderId="1" xfId="0" applyNumberFormat="1" applyFont="1" applyBorder="1"/>
    <xf numFmtId="164" fontId="4" fillId="5" borderId="0" xfId="0" applyNumberFormat="1" applyFont="1" applyFill="1"/>
    <xf numFmtId="0" fontId="0" fillId="0" borderId="4" xfId="0" applyBorder="1"/>
    <xf numFmtId="166" fontId="0" fillId="0" borderId="0" xfId="1" applyNumberFormat="1" applyFont="1"/>
    <xf numFmtId="166" fontId="0" fillId="0" borderId="4" xfId="1" applyNumberFormat="1" applyFont="1" applyBorder="1"/>
    <xf numFmtId="16" fontId="6" fillId="0" borderId="1" xfId="0" applyNumberFormat="1" applyFont="1" applyBorder="1" applyAlignment="1">
      <alignment horizontal="center"/>
    </xf>
    <xf numFmtId="44" fontId="0" fillId="0" borderId="0" xfId="1" applyFont="1"/>
    <xf numFmtId="166" fontId="0" fillId="0" borderId="6" xfId="1" applyNumberFormat="1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0" fillId="0" borderId="8" xfId="1" applyNumberFormat="1" applyFont="1" applyBorder="1" applyAlignment="1">
      <alignment horizontal="center" wrapText="1"/>
    </xf>
    <xf numFmtId="166" fontId="0" fillId="0" borderId="9" xfId="1" applyNumberFormat="1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6" fontId="0" fillId="0" borderId="10" xfId="1" applyNumberFormat="1" applyFont="1" applyBorder="1" applyAlignment="1">
      <alignment horizontal="center" wrapText="1"/>
    </xf>
    <xf numFmtId="166" fontId="0" fillId="0" borderId="13" xfId="1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166" fontId="0" fillId="0" borderId="0" xfId="1" applyNumberFormat="1" applyFont="1" applyBorder="1" applyAlignment="1">
      <alignment horizontal="center" vertical="center" wrapText="1"/>
    </xf>
    <xf numFmtId="0" fontId="12" fillId="0" borderId="1" xfId="0" applyFont="1" applyBorder="1"/>
    <xf numFmtId="0" fontId="6" fillId="0" borderId="2" xfId="0" applyFont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164" fontId="10" fillId="5" borderId="4" xfId="0" applyNumberFormat="1" applyFont="1" applyFill="1" applyBorder="1" applyAlignment="1">
      <alignment horizontal="center"/>
    </xf>
    <xf numFmtId="0" fontId="14" fillId="0" borderId="4" xfId="0" applyFont="1" applyBorder="1"/>
    <xf numFmtId="0" fontId="15" fillId="0" borderId="4" xfId="0" applyFont="1" applyBorder="1"/>
    <xf numFmtId="0" fontId="15" fillId="0" borderId="4" xfId="0" applyFont="1" applyFill="1" applyBorder="1"/>
    <xf numFmtId="166" fontId="0" fillId="0" borderId="4" xfId="1" applyNumberFormat="1" applyFont="1" applyBorder="1" applyAlignment="1">
      <alignment vertical="center"/>
    </xf>
    <xf numFmtId="0" fontId="13" fillId="0" borderId="4" xfId="0" applyFont="1" applyFill="1" applyBorder="1"/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166" fontId="0" fillId="0" borderId="4" xfId="1" applyNumberFormat="1" applyFont="1" applyBorder="1" applyAlignment="1">
      <alignment horizontal="center" vertical="center" wrapText="1"/>
    </xf>
    <xf numFmtId="166" fontId="13" fillId="0" borderId="4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13" fillId="0" borderId="5" xfId="0" applyFont="1" applyFill="1" applyBorder="1"/>
    <xf numFmtId="166" fontId="13" fillId="0" borderId="0" xfId="0" applyNumberFormat="1" applyFont="1"/>
    <xf numFmtId="166" fontId="13" fillId="0" borderId="4" xfId="0" applyNumberFormat="1" applyFont="1" applyBorder="1"/>
    <xf numFmtId="164" fontId="0" fillId="0" borderId="0" xfId="0" applyNumberFormat="1"/>
    <xf numFmtId="166" fontId="4" fillId="0" borderId="0" xfId="0" applyNumberFormat="1" applyFont="1"/>
    <xf numFmtId="164" fontId="4" fillId="0" borderId="0" xfId="0" applyNumberFormat="1" applyFont="1"/>
    <xf numFmtId="166" fontId="13" fillId="0" borderId="4" xfId="1" applyNumberFormat="1" applyFont="1" applyBorder="1" applyAlignment="1">
      <alignment vertical="center"/>
    </xf>
    <xf numFmtId="166" fontId="0" fillId="0" borderId="4" xfId="1" applyNumberFormat="1" applyFont="1" applyFill="1" applyBorder="1" applyAlignment="1">
      <alignment horizontal="center" vertical="center" wrapText="1"/>
    </xf>
    <xf numFmtId="164" fontId="4" fillId="7" borderId="4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166" fontId="1" fillId="0" borderId="0" xfId="1" applyNumberFormat="1" applyFont="1"/>
    <xf numFmtId="166" fontId="6" fillId="0" borderId="1" xfId="0" applyNumberFormat="1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wrapText="1"/>
    </xf>
    <xf numFmtId="0" fontId="4" fillId="3" borderId="18" xfId="0" applyFont="1" applyFill="1" applyBorder="1"/>
    <xf numFmtId="0" fontId="6" fillId="0" borderId="17" xfId="0" applyFont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0" borderId="4" xfId="0" applyFont="1" applyBorder="1"/>
    <xf numFmtId="0" fontId="6" fillId="4" borderId="4" xfId="0" applyFont="1" applyFill="1" applyBorder="1" applyAlignment="1">
      <alignment horizontal="center"/>
    </xf>
    <xf numFmtId="166" fontId="7" fillId="0" borderId="4" xfId="0" applyNumberFormat="1" applyFont="1" applyBorder="1"/>
    <xf numFmtId="0" fontId="0" fillId="0" borderId="0" xfId="0" applyBorder="1"/>
    <xf numFmtId="0" fontId="4" fillId="3" borderId="0" xfId="0" applyFont="1" applyFill="1" applyBorder="1"/>
    <xf numFmtId="166" fontId="7" fillId="0" borderId="0" xfId="0" applyNumberFormat="1" applyFont="1" applyBorder="1"/>
    <xf numFmtId="0" fontId="7" fillId="0" borderId="0" xfId="0" applyFont="1" applyBorder="1"/>
    <xf numFmtId="164" fontId="6" fillId="4" borderId="17" xfId="0" applyNumberFormat="1" applyFont="1" applyFill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6" fontId="0" fillId="0" borderId="19" xfId="1" applyNumberFormat="1" applyFont="1" applyBorder="1" applyAlignment="1">
      <alignment horizontal="center" wrapText="1"/>
    </xf>
    <xf numFmtId="166" fontId="0" fillId="0" borderId="20" xfId="1" applyNumberFormat="1" applyFont="1" applyBorder="1" applyAlignment="1">
      <alignment horizontal="center" wrapText="1"/>
    </xf>
    <xf numFmtId="0" fontId="13" fillId="0" borderId="21" xfId="0" applyFont="1" applyBorder="1" applyAlignment="1">
      <alignment horizontal="left"/>
    </xf>
    <xf numFmtId="0" fontId="15" fillId="0" borderId="20" xfId="0" applyFont="1" applyBorder="1"/>
    <xf numFmtId="0" fontId="15" fillId="0" borderId="20" xfId="0" applyFont="1" applyFill="1" applyBorder="1"/>
    <xf numFmtId="166" fontId="0" fillId="0" borderId="4" xfId="0" applyNumberFormat="1" applyBorder="1"/>
  </cellXfs>
  <cellStyles count="3">
    <cellStyle name="Moneda" xfId="1" builtinId="4"/>
    <cellStyle name="Normal" xfId="0" builtinId="0"/>
    <cellStyle name="Normal 2" xfId="2" xr:uid="{4CF723D5-EF8A-4FEE-BC3C-81065422F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CC82-BB91-42F7-9460-7164AC886BE4}">
  <sheetPr>
    <outlinePr summaryBelow="0" summaryRight="0"/>
    <pageSetUpPr fitToPage="1"/>
  </sheetPr>
  <dimension ref="A1:U107"/>
  <sheetViews>
    <sheetView topLeftCell="A8" zoomScale="58" workbookViewId="0">
      <selection activeCell="C3" sqref="C3:C45"/>
    </sheetView>
  </sheetViews>
  <sheetFormatPr baseColWidth="10" defaultColWidth="12.6640625" defaultRowHeight="15.75" customHeight="1" x14ac:dyDescent="0.25"/>
  <cols>
    <col min="1" max="1" width="30.88671875" customWidth="1"/>
    <col min="2" max="2" width="11.109375" customWidth="1"/>
    <col min="3" max="3" width="14" bestFit="1" customWidth="1"/>
    <col min="4" max="4" width="20.88671875" customWidth="1"/>
    <col min="5" max="5" width="38.44140625" customWidth="1"/>
    <col min="6" max="6" width="23" customWidth="1"/>
    <col min="7" max="7" width="21.109375" customWidth="1"/>
    <col min="8" max="8" width="11" customWidth="1"/>
    <col min="9" max="9" width="19.6640625" customWidth="1"/>
    <col min="10" max="10" width="29.88671875" customWidth="1"/>
    <col min="12" max="13" width="16.21875" customWidth="1"/>
    <col min="14" max="14" width="11.88671875" bestFit="1" customWidth="1"/>
    <col min="15" max="15" width="14.44140625" bestFit="1" customWidth="1"/>
    <col min="17" max="17" width="14.44140625" bestFit="1" customWidth="1"/>
    <col min="21" max="21" width="18.6640625" customWidth="1"/>
  </cols>
  <sheetData>
    <row r="1" spans="1:21" ht="15.75" customHeight="1" thickBot="1" x14ac:dyDescent="0.35">
      <c r="A1" s="1" t="s">
        <v>0</v>
      </c>
      <c r="B1" s="1" t="s">
        <v>1</v>
      </c>
      <c r="C1" s="1" t="s">
        <v>2</v>
      </c>
      <c r="D1" s="1" t="s">
        <v>137</v>
      </c>
      <c r="E1" s="1" t="s">
        <v>138</v>
      </c>
      <c r="F1" s="1" t="s">
        <v>139</v>
      </c>
      <c r="G1" s="1"/>
      <c r="H1" s="1"/>
      <c r="I1" s="1" t="s">
        <v>140</v>
      </c>
      <c r="J1" s="79" t="s">
        <v>141</v>
      </c>
      <c r="K1" s="26" t="s">
        <v>64</v>
      </c>
      <c r="L1" s="26" t="s">
        <v>142</v>
      </c>
      <c r="M1" s="86"/>
    </row>
    <row r="2" spans="1:21" ht="15.75" customHeight="1" thickBot="1" x14ac:dyDescent="0.35">
      <c r="A2" s="2" t="s">
        <v>10</v>
      </c>
      <c r="B2" s="3"/>
      <c r="C2" s="3"/>
      <c r="D2" s="3"/>
      <c r="E2" s="3"/>
      <c r="F2" s="3"/>
      <c r="G2" s="3"/>
      <c r="H2" s="3"/>
      <c r="I2" s="3"/>
      <c r="J2" s="80"/>
      <c r="K2" s="80"/>
      <c r="L2" s="80"/>
      <c r="M2" s="87"/>
      <c r="O2" s="71" t="s">
        <v>94</v>
      </c>
      <c r="P2" s="72"/>
      <c r="Q2" s="73"/>
    </row>
    <row r="3" spans="1:21" ht="15.75" customHeight="1" x14ac:dyDescent="0.3">
      <c r="A3" s="4" t="s">
        <v>11</v>
      </c>
      <c r="B3" s="5" t="s">
        <v>12</v>
      </c>
      <c r="C3" s="76">
        <v>548100</v>
      </c>
      <c r="D3" s="5">
        <v>2</v>
      </c>
      <c r="E3" s="5"/>
      <c r="F3" s="5">
        <f>D3+E3</f>
        <v>2</v>
      </c>
      <c r="G3" s="77"/>
      <c r="H3" s="5"/>
      <c r="I3" s="5">
        <v>2</v>
      </c>
      <c r="J3" s="81">
        <f>F3</f>
        <v>2</v>
      </c>
      <c r="K3" s="83">
        <f>I3-J3</f>
        <v>0</v>
      </c>
      <c r="L3" s="85">
        <f>K3*C3</f>
        <v>0</v>
      </c>
      <c r="M3" s="88"/>
      <c r="O3" s="31">
        <v>50</v>
      </c>
      <c r="P3" s="32">
        <v>0</v>
      </c>
      <c r="Q3" s="33">
        <f>+O3*P3</f>
        <v>0</v>
      </c>
    </row>
    <row r="4" spans="1:21" ht="15.75" customHeight="1" x14ac:dyDescent="0.3">
      <c r="A4" s="4" t="s">
        <v>13</v>
      </c>
      <c r="B4" s="5" t="s">
        <v>14</v>
      </c>
      <c r="C4" s="76">
        <v>60200</v>
      </c>
      <c r="D4" s="5">
        <v>0</v>
      </c>
      <c r="E4" s="5"/>
      <c r="F4" s="5">
        <f t="shared" ref="F4:F50" si="0">D4+E4</f>
        <v>0</v>
      </c>
      <c r="G4" s="77"/>
      <c r="H4" s="5"/>
      <c r="I4" s="5">
        <v>6</v>
      </c>
      <c r="J4" s="81">
        <f t="shared" ref="J4:J49" si="1">F4</f>
        <v>0</v>
      </c>
      <c r="K4" s="83">
        <f t="shared" ref="K4:K49" si="2">I4-J4</f>
        <v>6</v>
      </c>
      <c r="L4" s="85">
        <f t="shared" ref="L4:L45" si="3">K4*C4</f>
        <v>361200</v>
      </c>
      <c r="M4" s="88"/>
      <c r="O4" s="34">
        <v>100</v>
      </c>
      <c r="P4" s="35">
        <v>0</v>
      </c>
      <c r="Q4" s="36">
        <f t="shared" ref="Q4:Q13" si="4">+O4*P4</f>
        <v>0</v>
      </c>
    </row>
    <row r="5" spans="1:21" ht="15.75" customHeight="1" x14ac:dyDescent="0.3">
      <c r="A5" s="8" t="s">
        <v>15</v>
      </c>
      <c r="B5" s="9"/>
      <c r="C5" s="10"/>
      <c r="D5" s="12"/>
      <c r="E5" s="11"/>
      <c r="F5" s="12"/>
      <c r="G5" s="12"/>
      <c r="H5" s="12"/>
      <c r="I5" s="12"/>
      <c r="J5" s="82"/>
      <c r="K5" s="84"/>
      <c r="L5" s="84"/>
      <c r="M5" s="78"/>
      <c r="O5" s="34">
        <v>200</v>
      </c>
      <c r="P5" s="35">
        <v>5</v>
      </c>
      <c r="Q5" s="36">
        <f t="shared" si="4"/>
        <v>1000</v>
      </c>
    </row>
    <row r="6" spans="1:21" ht="15.75" customHeight="1" x14ac:dyDescent="0.3">
      <c r="A6" s="4" t="s">
        <v>16</v>
      </c>
      <c r="B6" s="5" t="s">
        <v>17</v>
      </c>
      <c r="C6" s="6"/>
      <c r="D6" s="5">
        <v>3</v>
      </c>
      <c r="E6" s="5"/>
      <c r="F6" s="5">
        <f t="shared" si="0"/>
        <v>3</v>
      </c>
      <c r="G6" s="77"/>
      <c r="H6" s="5"/>
      <c r="I6" s="5"/>
      <c r="J6" s="81">
        <f t="shared" si="1"/>
        <v>3</v>
      </c>
      <c r="K6" s="83"/>
      <c r="L6" s="85">
        <f t="shared" si="3"/>
        <v>0</v>
      </c>
      <c r="M6" s="88"/>
      <c r="O6" s="34">
        <v>500</v>
      </c>
      <c r="P6" s="35">
        <v>0</v>
      </c>
      <c r="Q6" s="36">
        <f t="shared" si="4"/>
        <v>0</v>
      </c>
    </row>
    <row r="7" spans="1:21" ht="15.75" customHeight="1" x14ac:dyDescent="0.3">
      <c r="A7" s="4" t="s">
        <v>18</v>
      </c>
      <c r="B7" s="5" t="s">
        <v>19</v>
      </c>
      <c r="C7" s="6">
        <v>263900</v>
      </c>
      <c r="D7" s="5">
        <v>6</v>
      </c>
      <c r="E7" s="5"/>
      <c r="F7" s="5">
        <f t="shared" si="0"/>
        <v>6</v>
      </c>
      <c r="G7" s="77"/>
      <c r="H7" s="5"/>
      <c r="I7" s="5">
        <v>6</v>
      </c>
      <c r="J7" s="81">
        <f t="shared" si="1"/>
        <v>6</v>
      </c>
      <c r="K7" s="83">
        <f t="shared" si="2"/>
        <v>0</v>
      </c>
      <c r="L7" s="85">
        <f t="shared" si="3"/>
        <v>0</v>
      </c>
      <c r="M7" s="88"/>
      <c r="O7" s="34">
        <v>1000</v>
      </c>
      <c r="P7" s="35">
        <v>0</v>
      </c>
      <c r="Q7" s="36">
        <f t="shared" si="4"/>
        <v>0</v>
      </c>
    </row>
    <row r="8" spans="1:21" ht="15.75" customHeight="1" x14ac:dyDescent="0.3">
      <c r="A8" s="4" t="s">
        <v>20</v>
      </c>
      <c r="B8" s="5" t="s">
        <v>19</v>
      </c>
      <c r="C8" s="6">
        <v>212700</v>
      </c>
      <c r="D8" s="5">
        <v>4</v>
      </c>
      <c r="E8" s="5"/>
      <c r="F8" s="5">
        <f t="shared" si="0"/>
        <v>4</v>
      </c>
      <c r="G8" s="77"/>
      <c r="H8" s="5"/>
      <c r="I8" s="5">
        <v>6</v>
      </c>
      <c r="J8" s="81">
        <f t="shared" si="1"/>
        <v>4</v>
      </c>
      <c r="K8" s="83">
        <f t="shared" si="2"/>
        <v>2</v>
      </c>
      <c r="L8" s="85">
        <f t="shared" si="3"/>
        <v>425400</v>
      </c>
      <c r="M8" s="88"/>
      <c r="O8" s="34">
        <v>2000</v>
      </c>
      <c r="P8" s="35">
        <v>44</v>
      </c>
      <c r="Q8" s="36">
        <f t="shared" si="4"/>
        <v>88000</v>
      </c>
    </row>
    <row r="9" spans="1:21" ht="15.75" customHeight="1" x14ac:dyDescent="0.3">
      <c r="A9" s="4" t="s">
        <v>74</v>
      </c>
      <c r="B9" s="5" t="s">
        <v>19</v>
      </c>
      <c r="C9" s="6"/>
      <c r="D9" s="5">
        <v>3</v>
      </c>
      <c r="E9" s="5"/>
      <c r="F9" s="5">
        <f t="shared" si="0"/>
        <v>3</v>
      </c>
      <c r="G9" s="77"/>
      <c r="H9" s="5"/>
      <c r="I9" s="5"/>
      <c r="J9" s="81">
        <f t="shared" si="1"/>
        <v>3</v>
      </c>
      <c r="K9" s="83"/>
      <c r="L9" s="85">
        <f t="shared" si="3"/>
        <v>0</v>
      </c>
      <c r="M9" s="88"/>
      <c r="O9" s="34">
        <v>5000</v>
      </c>
      <c r="P9" s="35">
        <v>2</v>
      </c>
      <c r="Q9" s="36">
        <f t="shared" si="4"/>
        <v>10000</v>
      </c>
      <c r="U9" s="27">
        <v>2223437</v>
      </c>
    </row>
    <row r="10" spans="1:21" ht="15.75" customHeight="1" x14ac:dyDescent="0.3">
      <c r="A10" s="4" t="s">
        <v>73</v>
      </c>
      <c r="B10" s="5" t="s">
        <v>19</v>
      </c>
      <c r="C10" s="6"/>
      <c r="D10" s="5">
        <v>3</v>
      </c>
      <c r="E10" s="5"/>
      <c r="F10" s="5">
        <f t="shared" si="0"/>
        <v>3</v>
      </c>
      <c r="G10" s="77"/>
      <c r="H10" s="5"/>
      <c r="I10" s="5"/>
      <c r="J10" s="81">
        <f t="shared" si="1"/>
        <v>3</v>
      </c>
      <c r="K10" s="83"/>
      <c r="L10" s="85">
        <f t="shared" si="3"/>
        <v>0</v>
      </c>
      <c r="M10" s="88"/>
      <c r="O10" s="34">
        <v>10000</v>
      </c>
      <c r="P10" s="35">
        <v>13</v>
      </c>
      <c r="Q10" s="36">
        <f t="shared" si="4"/>
        <v>130000</v>
      </c>
      <c r="U10" s="27">
        <v>3793344</v>
      </c>
    </row>
    <row r="11" spans="1:21" ht="15.75" customHeight="1" x14ac:dyDescent="0.3">
      <c r="A11" s="4" t="s">
        <v>21</v>
      </c>
      <c r="B11" s="5" t="s">
        <v>19</v>
      </c>
      <c r="C11" s="6">
        <v>82300</v>
      </c>
      <c r="D11" s="5">
        <v>4</v>
      </c>
      <c r="E11" s="5"/>
      <c r="F11" s="5">
        <f t="shared" si="0"/>
        <v>4</v>
      </c>
      <c r="G11" s="77"/>
      <c r="H11" s="5"/>
      <c r="I11" s="5">
        <v>6</v>
      </c>
      <c r="J11" s="81">
        <f t="shared" si="1"/>
        <v>4</v>
      </c>
      <c r="K11" s="83">
        <f t="shared" si="2"/>
        <v>2</v>
      </c>
      <c r="L11" s="85">
        <f t="shared" si="3"/>
        <v>164600</v>
      </c>
      <c r="M11" s="88"/>
      <c r="O11" s="34">
        <v>20000</v>
      </c>
      <c r="P11" s="35">
        <v>5</v>
      </c>
      <c r="Q11" s="36">
        <f t="shared" si="4"/>
        <v>100000</v>
      </c>
      <c r="U11" s="27">
        <f>SUM(U9:U10)</f>
        <v>6016781</v>
      </c>
    </row>
    <row r="12" spans="1:21" ht="15.75" customHeight="1" x14ac:dyDescent="0.3">
      <c r="A12" s="4" t="s">
        <v>22</v>
      </c>
      <c r="B12" s="5" t="s">
        <v>19</v>
      </c>
      <c r="C12" s="6">
        <v>82300</v>
      </c>
      <c r="D12" s="5">
        <v>8</v>
      </c>
      <c r="E12" s="5">
        <v>8</v>
      </c>
      <c r="F12" s="5">
        <f t="shared" si="0"/>
        <v>16</v>
      </c>
      <c r="G12" s="77"/>
      <c r="H12" s="5"/>
      <c r="I12" s="5">
        <v>18</v>
      </c>
      <c r="J12" s="81">
        <f t="shared" si="1"/>
        <v>16</v>
      </c>
      <c r="K12" s="83">
        <f t="shared" si="2"/>
        <v>2</v>
      </c>
      <c r="L12" s="85">
        <f t="shared" si="3"/>
        <v>164600</v>
      </c>
      <c r="M12" s="88"/>
      <c r="O12" s="34">
        <v>50000</v>
      </c>
      <c r="P12" s="35">
        <v>60</v>
      </c>
      <c r="Q12" s="36">
        <f t="shared" si="4"/>
        <v>3000000</v>
      </c>
    </row>
    <row r="13" spans="1:21" ht="15.75" customHeight="1" x14ac:dyDescent="0.3">
      <c r="A13" s="8" t="s">
        <v>23</v>
      </c>
      <c r="B13" s="9"/>
      <c r="C13" s="10"/>
      <c r="D13" s="12"/>
      <c r="E13" s="11"/>
      <c r="F13" s="12"/>
      <c r="G13" s="12"/>
      <c r="H13" s="12"/>
      <c r="I13" s="12"/>
      <c r="J13" s="82"/>
      <c r="K13" s="84"/>
      <c r="L13" s="84"/>
      <c r="M13" s="78"/>
      <c r="O13" s="34">
        <v>100000</v>
      </c>
      <c r="P13" s="35">
        <v>28</v>
      </c>
      <c r="Q13" s="36">
        <f t="shared" si="4"/>
        <v>2800000</v>
      </c>
    </row>
    <row r="14" spans="1:21" ht="15.75" customHeight="1" thickBot="1" x14ac:dyDescent="0.35">
      <c r="A14" s="4" t="s">
        <v>24</v>
      </c>
      <c r="B14" s="5" t="s">
        <v>19</v>
      </c>
      <c r="C14" s="6">
        <v>70900</v>
      </c>
      <c r="D14" s="5">
        <v>3</v>
      </c>
      <c r="E14" s="5"/>
      <c r="F14" s="5">
        <f t="shared" si="0"/>
        <v>3</v>
      </c>
      <c r="G14" s="77"/>
      <c r="H14" s="5"/>
      <c r="I14" s="5">
        <v>6</v>
      </c>
      <c r="J14" s="81">
        <f t="shared" si="1"/>
        <v>3</v>
      </c>
      <c r="K14" s="83">
        <f t="shared" si="2"/>
        <v>3</v>
      </c>
      <c r="L14" s="85">
        <f t="shared" si="3"/>
        <v>212700</v>
      </c>
      <c r="M14" s="88"/>
      <c r="O14" s="69" t="s">
        <v>64</v>
      </c>
      <c r="P14" s="70"/>
      <c r="Q14" s="37">
        <f>SUM(Q3:Q13)</f>
        <v>6129000</v>
      </c>
    </row>
    <row r="15" spans="1:21" ht="15.75" customHeight="1" x14ac:dyDescent="0.3">
      <c r="A15" s="4" t="s">
        <v>24</v>
      </c>
      <c r="B15" s="5" t="s">
        <v>19</v>
      </c>
      <c r="C15" s="6"/>
      <c r="D15" s="5">
        <v>0</v>
      </c>
      <c r="E15" s="5"/>
      <c r="F15" s="5">
        <f t="shared" si="0"/>
        <v>0</v>
      </c>
      <c r="G15" s="77"/>
      <c r="H15" s="5"/>
      <c r="I15" s="5"/>
      <c r="J15" s="81">
        <f t="shared" si="1"/>
        <v>0</v>
      </c>
      <c r="K15" s="83"/>
      <c r="L15" s="85">
        <f t="shared" si="3"/>
        <v>0</v>
      </c>
      <c r="M15" s="88"/>
      <c r="O15" s="38"/>
      <c r="P15" s="38"/>
      <c r="Q15" s="39"/>
    </row>
    <row r="16" spans="1:21" ht="15.75" customHeight="1" x14ac:dyDescent="0.3">
      <c r="A16" s="40" t="s">
        <v>95</v>
      </c>
      <c r="B16" s="5" t="s">
        <v>19</v>
      </c>
      <c r="C16" s="6"/>
      <c r="D16" s="5">
        <v>0</v>
      </c>
      <c r="E16" s="5"/>
      <c r="F16" s="5">
        <f t="shared" si="0"/>
        <v>0</v>
      </c>
      <c r="G16" s="77"/>
      <c r="H16" s="5"/>
      <c r="I16" s="5"/>
      <c r="J16" s="81">
        <f t="shared" si="1"/>
        <v>0</v>
      </c>
      <c r="K16" s="83"/>
      <c r="L16" s="85">
        <f t="shared" si="3"/>
        <v>0</v>
      </c>
      <c r="M16" s="88"/>
      <c r="O16" s="38"/>
      <c r="P16" s="38"/>
      <c r="Q16" s="39"/>
    </row>
    <row r="17" spans="1:21" ht="15.75" customHeight="1" x14ac:dyDescent="0.3">
      <c r="A17" s="4" t="s">
        <v>25</v>
      </c>
      <c r="B17" s="5" t="s">
        <v>19</v>
      </c>
      <c r="C17" s="6"/>
      <c r="D17" s="5">
        <v>8</v>
      </c>
      <c r="E17" s="5">
        <v>12</v>
      </c>
      <c r="F17" s="5">
        <f t="shared" si="0"/>
        <v>20</v>
      </c>
      <c r="G17" s="77"/>
      <c r="H17" s="5"/>
      <c r="I17" s="5">
        <v>24</v>
      </c>
      <c r="J17" s="81">
        <f t="shared" si="1"/>
        <v>20</v>
      </c>
      <c r="K17" s="83">
        <f t="shared" si="2"/>
        <v>4</v>
      </c>
      <c r="L17" s="85">
        <f t="shared" si="3"/>
        <v>0</v>
      </c>
      <c r="M17" s="88"/>
    </row>
    <row r="18" spans="1:21" ht="15.75" customHeight="1" x14ac:dyDescent="0.3">
      <c r="A18" s="8" t="s">
        <v>26</v>
      </c>
      <c r="B18" s="9"/>
      <c r="C18" s="10"/>
      <c r="D18" s="12"/>
      <c r="E18" s="11"/>
      <c r="F18" s="12"/>
      <c r="G18" s="12"/>
      <c r="H18" s="12"/>
      <c r="I18" s="12"/>
      <c r="J18" s="82"/>
      <c r="K18" s="84"/>
      <c r="L18" s="84"/>
      <c r="M18" s="78"/>
      <c r="R18">
        <f>3100000/50000</f>
        <v>62</v>
      </c>
    </row>
    <row r="19" spans="1:21" ht="15.75" customHeight="1" x14ac:dyDescent="0.3">
      <c r="A19" s="4" t="s">
        <v>27</v>
      </c>
      <c r="B19" s="5" t="s">
        <v>12</v>
      </c>
      <c r="C19" s="6">
        <v>154200</v>
      </c>
      <c r="D19" s="5">
        <v>9</v>
      </c>
      <c r="E19" s="5">
        <v>12</v>
      </c>
      <c r="F19" s="5">
        <f t="shared" si="0"/>
        <v>21</v>
      </c>
      <c r="G19" s="77"/>
      <c r="H19" s="5"/>
      <c r="I19" s="5">
        <v>24</v>
      </c>
      <c r="J19" s="81">
        <f t="shared" si="1"/>
        <v>21</v>
      </c>
      <c r="K19" s="83">
        <f t="shared" si="2"/>
        <v>3</v>
      </c>
      <c r="L19" s="85">
        <f t="shared" si="3"/>
        <v>462600</v>
      </c>
      <c r="M19" s="88"/>
      <c r="Q19" s="27"/>
    </row>
    <row r="20" spans="1:21" ht="15.75" customHeight="1" x14ac:dyDescent="0.3">
      <c r="A20" s="4" t="s">
        <v>28</v>
      </c>
      <c r="B20" s="5" t="s">
        <v>12</v>
      </c>
      <c r="C20" s="6">
        <v>179100</v>
      </c>
      <c r="D20" s="5">
        <v>8</v>
      </c>
      <c r="E20" s="5"/>
      <c r="F20" s="5">
        <f t="shared" si="0"/>
        <v>8</v>
      </c>
      <c r="G20" s="77"/>
      <c r="H20" s="5"/>
      <c r="I20" s="5">
        <v>8</v>
      </c>
      <c r="J20" s="81">
        <f t="shared" si="1"/>
        <v>8</v>
      </c>
      <c r="K20" s="83">
        <f t="shared" si="2"/>
        <v>0</v>
      </c>
      <c r="L20" s="85">
        <f t="shared" si="3"/>
        <v>0</v>
      </c>
      <c r="M20" s="88"/>
      <c r="O20" s="45" t="s">
        <v>121</v>
      </c>
      <c r="P20" s="26"/>
      <c r="Q20" s="28"/>
      <c r="S20" s="45" t="s">
        <v>127</v>
      </c>
      <c r="T20" s="28"/>
    </row>
    <row r="21" spans="1:21" ht="15.75" customHeight="1" x14ac:dyDescent="0.3">
      <c r="A21" s="4" t="s">
        <v>29</v>
      </c>
      <c r="B21" s="5" t="s">
        <v>19</v>
      </c>
      <c r="C21" s="6">
        <v>66500</v>
      </c>
      <c r="D21" s="5">
        <v>11</v>
      </c>
      <c r="E21" s="5"/>
      <c r="F21" s="5">
        <f t="shared" si="0"/>
        <v>11</v>
      </c>
      <c r="G21" s="77"/>
      <c r="H21" s="5"/>
      <c r="I21" s="5">
        <v>14</v>
      </c>
      <c r="J21" s="81">
        <f t="shared" si="1"/>
        <v>11</v>
      </c>
      <c r="K21" s="83">
        <f t="shared" si="2"/>
        <v>3</v>
      </c>
      <c r="L21" s="85">
        <f t="shared" si="3"/>
        <v>199500</v>
      </c>
      <c r="M21" s="88"/>
      <c r="O21" s="45" t="s">
        <v>69</v>
      </c>
      <c r="P21" s="26">
        <v>3</v>
      </c>
      <c r="Q21" s="28">
        <f>15000*P21</f>
        <v>45000</v>
      </c>
      <c r="S21" s="45" t="s">
        <v>126</v>
      </c>
      <c r="T21" s="28">
        <v>50000</v>
      </c>
    </row>
    <row r="22" spans="1:21" ht="15.75" customHeight="1" x14ac:dyDescent="0.3">
      <c r="A22" s="8" t="s">
        <v>30</v>
      </c>
      <c r="B22" s="9"/>
      <c r="C22" s="10"/>
      <c r="D22" s="12"/>
      <c r="E22" s="11"/>
      <c r="F22" s="12"/>
      <c r="G22" s="12"/>
      <c r="H22" s="12"/>
      <c r="I22" s="12"/>
      <c r="J22" s="82"/>
      <c r="K22" s="84"/>
      <c r="L22" s="84"/>
      <c r="M22" s="78"/>
      <c r="O22" s="45" t="s">
        <v>68</v>
      </c>
      <c r="P22" s="26">
        <v>14</v>
      </c>
      <c r="Q22" s="28">
        <f>P22*15000</f>
        <v>210000</v>
      </c>
      <c r="S22" s="45" t="s">
        <v>68</v>
      </c>
      <c r="T22" s="28">
        <v>15000</v>
      </c>
    </row>
    <row r="23" spans="1:21" ht="15.75" customHeight="1" x14ac:dyDescent="0.3">
      <c r="A23" s="4" t="s">
        <v>31</v>
      </c>
      <c r="B23" s="5" t="s">
        <v>19</v>
      </c>
      <c r="C23" s="6"/>
      <c r="D23" s="5">
        <v>0</v>
      </c>
      <c r="E23" s="5"/>
      <c r="F23" s="5">
        <f t="shared" si="0"/>
        <v>0</v>
      </c>
      <c r="G23" s="77"/>
      <c r="H23" s="5"/>
      <c r="I23" s="5"/>
      <c r="J23" s="81">
        <f t="shared" si="1"/>
        <v>0</v>
      </c>
      <c r="K23" s="83">
        <f t="shared" si="2"/>
        <v>0</v>
      </c>
      <c r="L23" s="85">
        <f t="shared" si="3"/>
        <v>0</v>
      </c>
      <c r="M23" s="88"/>
      <c r="O23" s="45" t="s">
        <v>72</v>
      </c>
      <c r="P23" s="26">
        <v>1</v>
      </c>
      <c r="Q23" s="28">
        <v>15000</v>
      </c>
      <c r="T23" s="27">
        <f>SUM(T21:T22)</f>
        <v>65000</v>
      </c>
    </row>
    <row r="24" spans="1:21" ht="15.75" customHeight="1" x14ac:dyDescent="0.3">
      <c r="A24" s="4" t="s">
        <v>32</v>
      </c>
      <c r="B24" s="5" t="s">
        <v>19</v>
      </c>
      <c r="C24" s="6">
        <v>86600</v>
      </c>
      <c r="D24" s="5">
        <v>5</v>
      </c>
      <c r="E24" s="5"/>
      <c r="F24" s="5">
        <f t="shared" si="0"/>
        <v>5</v>
      </c>
      <c r="G24" s="77"/>
      <c r="H24" s="5"/>
      <c r="I24" s="5">
        <v>12</v>
      </c>
      <c r="J24" s="81">
        <f t="shared" si="1"/>
        <v>5</v>
      </c>
      <c r="K24" s="83">
        <f t="shared" si="2"/>
        <v>7</v>
      </c>
      <c r="L24" s="85">
        <f t="shared" si="3"/>
        <v>606200</v>
      </c>
      <c r="M24" s="88"/>
      <c r="O24" s="45" t="s">
        <v>122</v>
      </c>
      <c r="P24" s="26">
        <v>1</v>
      </c>
      <c r="Q24" s="28">
        <v>30000</v>
      </c>
      <c r="T24" s="27"/>
    </row>
    <row r="25" spans="1:21" ht="15.75" customHeight="1" x14ac:dyDescent="0.3">
      <c r="A25" s="8" t="s">
        <v>33</v>
      </c>
      <c r="B25" s="9"/>
      <c r="C25" s="10"/>
      <c r="D25" s="12"/>
      <c r="E25" s="11"/>
      <c r="F25" s="12"/>
      <c r="G25" s="12"/>
      <c r="H25" s="12"/>
      <c r="I25" s="12"/>
      <c r="J25" s="82"/>
      <c r="K25" s="84"/>
      <c r="L25" s="84"/>
      <c r="M25" s="78"/>
      <c r="O25" s="45" t="s">
        <v>123</v>
      </c>
      <c r="P25" s="26">
        <v>1</v>
      </c>
      <c r="Q25" s="28">
        <v>10000</v>
      </c>
    </row>
    <row r="26" spans="1:21" ht="15.75" customHeight="1" x14ac:dyDescent="0.3">
      <c r="A26" s="4" t="s">
        <v>34</v>
      </c>
      <c r="B26" s="5" t="s">
        <v>14</v>
      </c>
      <c r="C26" s="6">
        <v>44600</v>
      </c>
      <c r="D26" s="5">
        <v>0</v>
      </c>
      <c r="E26" s="5"/>
      <c r="F26" s="5">
        <f t="shared" si="0"/>
        <v>0</v>
      </c>
      <c r="G26" s="77"/>
      <c r="H26" s="5"/>
      <c r="I26" s="5">
        <v>24</v>
      </c>
      <c r="J26" s="81">
        <f t="shared" si="1"/>
        <v>0</v>
      </c>
      <c r="K26" s="83">
        <f t="shared" si="2"/>
        <v>24</v>
      </c>
      <c r="L26" s="85">
        <f t="shared" si="3"/>
        <v>1070400</v>
      </c>
      <c r="M26" s="88"/>
      <c r="Q26" s="27">
        <f>SUM(Q21:Q25)</f>
        <v>310000</v>
      </c>
    </row>
    <row r="27" spans="1:21" ht="15.75" customHeight="1" x14ac:dyDescent="0.3">
      <c r="A27" s="4" t="s">
        <v>35</v>
      </c>
      <c r="B27" s="5" t="s">
        <v>36</v>
      </c>
      <c r="C27" s="6"/>
      <c r="D27" s="5">
        <v>0</v>
      </c>
      <c r="E27" s="5"/>
      <c r="F27" s="5">
        <f t="shared" si="0"/>
        <v>0</v>
      </c>
      <c r="G27" s="77"/>
      <c r="H27" s="5"/>
      <c r="I27" s="5"/>
      <c r="J27" s="81">
        <f t="shared" si="1"/>
        <v>0</v>
      </c>
      <c r="K27" s="83">
        <f t="shared" si="2"/>
        <v>0</v>
      </c>
      <c r="L27" s="85">
        <f t="shared" si="3"/>
        <v>0</v>
      </c>
      <c r="M27" s="88"/>
      <c r="Q27" s="27"/>
    </row>
    <row r="28" spans="1:21" ht="15.75" customHeight="1" x14ac:dyDescent="0.3">
      <c r="A28" s="8" t="s">
        <v>37</v>
      </c>
      <c r="B28" s="9"/>
      <c r="C28" s="10"/>
      <c r="D28" s="15"/>
      <c r="E28" s="14"/>
      <c r="F28" s="12"/>
      <c r="G28" s="12"/>
      <c r="H28" s="15"/>
      <c r="I28" s="12"/>
      <c r="J28" s="82"/>
      <c r="K28" s="84"/>
      <c r="L28" s="84"/>
      <c r="M28" s="78"/>
      <c r="Q28" s="27"/>
      <c r="U28" s="27"/>
    </row>
    <row r="29" spans="1:21" ht="15.75" customHeight="1" x14ac:dyDescent="0.3">
      <c r="A29" s="4" t="s">
        <v>38</v>
      </c>
      <c r="B29" s="5" t="s">
        <v>39</v>
      </c>
      <c r="C29" s="6">
        <v>3725</v>
      </c>
      <c r="D29" s="5">
        <v>153</v>
      </c>
      <c r="E29" s="5">
        <v>240</v>
      </c>
      <c r="F29" s="5">
        <f t="shared" si="0"/>
        <v>393</v>
      </c>
      <c r="G29" s="77"/>
      <c r="H29" s="5"/>
      <c r="I29" s="5">
        <v>480</v>
      </c>
      <c r="J29" s="81">
        <f t="shared" si="1"/>
        <v>393</v>
      </c>
      <c r="K29" s="83">
        <f t="shared" si="2"/>
        <v>87</v>
      </c>
      <c r="L29" s="85">
        <f t="shared" si="3"/>
        <v>324075</v>
      </c>
      <c r="M29" s="88"/>
      <c r="O29" s="45" t="s">
        <v>124</v>
      </c>
      <c r="P29" s="26"/>
      <c r="Q29" s="28"/>
      <c r="S29" s="45" t="s">
        <v>128</v>
      </c>
      <c r="T29" s="26"/>
      <c r="U29" s="28"/>
    </row>
    <row r="30" spans="1:21" ht="15.6" x14ac:dyDescent="0.3">
      <c r="A30" s="4" t="s">
        <v>40</v>
      </c>
      <c r="B30" s="5" t="s">
        <v>41</v>
      </c>
      <c r="C30" s="6">
        <v>3462</v>
      </c>
      <c r="D30" s="5">
        <v>150</v>
      </c>
      <c r="E30" s="5">
        <v>240</v>
      </c>
      <c r="F30" s="5">
        <f t="shared" si="0"/>
        <v>390</v>
      </c>
      <c r="G30" s="77"/>
      <c r="H30" s="5"/>
      <c r="I30" s="5">
        <v>480</v>
      </c>
      <c r="J30" s="81">
        <f t="shared" si="1"/>
        <v>390</v>
      </c>
      <c r="K30" s="83">
        <f t="shared" si="2"/>
        <v>90</v>
      </c>
      <c r="L30" s="85">
        <f t="shared" si="3"/>
        <v>311580</v>
      </c>
      <c r="M30" s="88"/>
      <c r="O30" s="45" t="s">
        <v>69</v>
      </c>
      <c r="P30" s="26">
        <v>6</v>
      </c>
      <c r="Q30" s="28">
        <f>P30*15000</f>
        <v>90000</v>
      </c>
      <c r="S30" s="45" t="s">
        <v>129</v>
      </c>
      <c r="T30" s="26">
        <v>1</v>
      </c>
      <c r="U30" s="28">
        <v>1000000</v>
      </c>
    </row>
    <row r="31" spans="1:21" ht="15.6" x14ac:dyDescent="0.3">
      <c r="A31" s="16" t="s">
        <v>42</v>
      </c>
      <c r="B31" s="9"/>
      <c r="C31" s="10"/>
      <c r="D31" s="12"/>
      <c r="E31" s="11"/>
      <c r="F31" s="12"/>
      <c r="G31" s="12"/>
      <c r="H31" s="12"/>
      <c r="I31" s="12"/>
      <c r="J31" s="82"/>
      <c r="K31" s="84"/>
      <c r="L31" s="84"/>
      <c r="M31" s="78"/>
      <c r="O31" s="45" t="s">
        <v>71</v>
      </c>
      <c r="P31" s="26">
        <v>5</v>
      </c>
      <c r="Q31" s="28">
        <f>+P31*15000</f>
        <v>75000</v>
      </c>
      <c r="S31" s="45" t="s">
        <v>68</v>
      </c>
      <c r="T31" s="26">
        <v>3</v>
      </c>
      <c r="U31" s="28">
        <v>45000</v>
      </c>
    </row>
    <row r="32" spans="1:21" ht="15.6" x14ac:dyDescent="0.3">
      <c r="A32" s="40" t="s">
        <v>116</v>
      </c>
      <c r="B32" s="5" t="s">
        <v>44</v>
      </c>
      <c r="C32" s="6">
        <v>2308</v>
      </c>
      <c r="D32" s="5">
        <v>15</v>
      </c>
      <c r="E32" s="5">
        <v>24</v>
      </c>
      <c r="F32" s="5">
        <f t="shared" si="0"/>
        <v>39</v>
      </c>
      <c r="G32" s="77"/>
      <c r="H32" s="5"/>
      <c r="I32" s="5">
        <v>84</v>
      </c>
      <c r="J32" s="81">
        <f t="shared" si="1"/>
        <v>39</v>
      </c>
      <c r="K32" s="83">
        <f t="shared" si="2"/>
        <v>45</v>
      </c>
      <c r="L32" s="85">
        <f t="shared" si="3"/>
        <v>103860</v>
      </c>
      <c r="M32" s="88"/>
      <c r="O32" s="45" t="s">
        <v>122</v>
      </c>
      <c r="P32" s="26">
        <v>1</v>
      </c>
      <c r="Q32" s="28">
        <v>30000</v>
      </c>
      <c r="S32" s="45" t="s">
        <v>72</v>
      </c>
      <c r="T32" s="26">
        <v>3</v>
      </c>
      <c r="U32" s="28">
        <v>45000</v>
      </c>
    </row>
    <row r="33" spans="1:21" ht="15.6" x14ac:dyDescent="0.3">
      <c r="A33" s="4" t="s">
        <v>45</v>
      </c>
      <c r="B33" s="5" t="s">
        <v>46</v>
      </c>
      <c r="C33" s="6">
        <v>2300</v>
      </c>
      <c r="D33" s="5">
        <v>15</v>
      </c>
      <c r="E33" s="5"/>
      <c r="F33" s="5">
        <f t="shared" si="0"/>
        <v>15</v>
      </c>
      <c r="G33" s="77"/>
      <c r="H33" s="5"/>
      <c r="I33" s="5">
        <v>24</v>
      </c>
      <c r="J33" s="81">
        <f t="shared" si="1"/>
        <v>15</v>
      </c>
      <c r="K33" s="83">
        <f t="shared" si="2"/>
        <v>9</v>
      </c>
      <c r="L33" s="85">
        <f t="shared" si="3"/>
        <v>20700</v>
      </c>
      <c r="M33" s="88"/>
      <c r="O33" s="45" t="s">
        <v>72</v>
      </c>
      <c r="P33" s="26">
        <v>2</v>
      </c>
      <c r="Q33" s="28">
        <v>30000</v>
      </c>
      <c r="U33" s="27">
        <f>SUM(U30:U32)</f>
        <v>1090000</v>
      </c>
    </row>
    <row r="34" spans="1:21" ht="15.6" x14ac:dyDescent="0.3">
      <c r="A34" s="4" t="s">
        <v>47</v>
      </c>
      <c r="B34" s="5" t="s">
        <v>41</v>
      </c>
      <c r="C34" s="6">
        <v>2400</v>
      </c>
      <c r="D34" s="5">
        <v>62</v>
      </c>
      <c r="E34" s="5"/>
      <c r="F34" s="5">
        <f t="shared" si="0"/>
        <v>62</v>
      </c>
      <c r="G34" s="77"/>
      <c r="H34" s="5"/>
      <c r="I34" s="5">
        <v>96</v>
      </c>
      <c r="J34" s="81">
        <f t="shared" si="1"/>
        <v>62</v>
      </c>
      <c r="K34" s="83">
        <f t="shared" si="2"/>
        <v>34</v>
      </c>
      <c r="L34" s="85">
        <f t="shared" si="3"/>
        <v>81600</v>
      </c>
      <c r="M34" s="88"/>
      <c r="O34" s="45" t="s">
        <v>68</v>
      </c>
      <c r="P34" s="26">
        <v>1</v>
      </c>
      <c r="Q34" s="28">
        <v>15000</v>
      </c>
      <c r="U34" s="27"/>
    </row>
    <row r="35" spans="1:21" ht="15.6" x14ac:dyDescent="0.3">
      <c r="A35" s="4" t="s">
        <v>48</v>
      </c>
      <c r="B35" s="5" t="s">
        <v>49</v>
      </c>
      <c r="C35" s="6">
        <v>1600</v>
      </c>
      <c r="D35" s="5">
        <v>17</v>
      </c>
      <c r="E35" s="5"/>
      <c r="F35" s="5">
        <f t="shared" si="0"/>
        <v>17</v>
      </c>
      <c r="G35" s="77"/>
      <c r="H35" s="5"/>
      <c r="I35" s="5">
        <v>48</v>
      </c>
      <c r="J35" s="81">
        <f t="shared" si="1"/>
        <v>17</v>
      </c>
      <c r="K35" s="83">
        <f t="shared" si="2"/>
        <v>31</v>
      </c>
      <c r="L35" s="85">
        <f t="shared" si="3"/>
        <v>49600</v>
      </c>
      <c r="M35" s="88"/>
      <c r="Q35" s="27">
        <f>SUM(Q30:Q34)</f>
        <v>240000</v>
      </c>
      <c r="U35" s="27"/>
    </row>
    <row r="36" spans="1:21" ht="15.6" x14ac:dyDescent="0.3">
      <c r="A36" s="16" t="s">
        <v>50</v>
      </c>
      <c r="B36" s="9"/>
      <c r="C36" s="10"/>
      <c r="D36" s="12"/>
      <c r="E36" s="11"/>
      <c r="F36" s="12"/>
      <c r="G36" s="12"/>
      <c r="H36" s="12"/>
      <c r="I36" s="12"/>
      <c r="J36" s="82"/>
      <c r="K36" s="84"/>
      <c r="L36" s="84"/>
      <c r="M36" s="78"/>
      <c r="Q36" s="27"/>
      <c r="U36" s="27"/>
    </row>
    <row r="37" spans="1:21" ht="15.6" x14ac:dyDescent="0.3">
      <c r="A37" s="4" t="s">
        <v>51</v>
      </c>
      <c r="B37" s="5" t="s">
        <v>52</v>
      </c>
      <c r="C37" s="6">
        <v>825</v>
      </c>
      <c r="D37" s="5">
        <v>87</v>
      </c>
      <c r="E37" s="5">
        <v>254</v>
      </c>
      <c r="F37" s="5">
        <f t="shared" si="0"/>
        <v>341</v>
      </c>
      <c r="G37" s="77"/>
      <c r="H37" s="5"/>
      <c r="I37" s="5">
        <v>480</v>
      </c>
      <c r="J37" s="81">
        <f t="shared" si="1"/>
        <v>341</v>
      </c>
      <c r="K37" s="83">
        <f t="shared" si="2"/>
        <v>139</v>
      </c>
      <c r="L37" s="85">
        <f t="shared" si="3"/>
        <v>114675</v>
      </c>
      <c r="M37" s="88"/>
      <c r="Q37" s="27"/>
      <c r="S37" s="45" t="s">
        <v>130</v>
      </c>
      <c r="T37" s="26"/>
      <c r="U37" s="28"/>
    </row>
    <row r="38" spans="1:21" ht="15.6" x14ac:dyDescent="0.3">
      <c r="A38" s="4" t="s">
        <v>53</v>
      </c>
      <c r="B38" s="5" t="s">
        <v>52</v>
      </c>
      <c r="C38" s="6"/>
      <c r="D38" s="5">
        <v>0</v>
      </c>
      <c r="E38" s="5"/>
      <c r="F38" s="5">
        <f t="shared" si="0"/>
        <v>0</v>
      </c>
      <c r="G38" s="77"/>
      <c r="H38" s="5"/>
      <c r="I38" s="5"/>
      <c r="J38" s="81">
        <f t="shared" si="1"/>
        <v>0</v>
      </c>
      <c r="K38" s="83">
        <f t="shared" si="2"/>
        <v>0</v>
      </c>
      <c r="L38" s="85">
        <f t="shared" si="3"/>
        <v>0</v>
      </c>
      <c r="M38" s="88"/>
      <c r="O38" s="45" t="s">
        <v>125</v>
      </c>
      <c r="P38" s="26"/>
      <c r="Q38" s="28"/>
      <c r="S38" s="45" t="s">
        <v>131</v>
      </c>
      <c r="T38" s="26">
        <v>1</v>
      </c>
      <c r="U38" s="28">
        <v>750000</v>
      </c>
    </row>
    <row r="39" spans="1:21" ht="15.6" x14ac:dyDescent="0.3">
      <c r="A39" s="4" t="s">
        <v>75</v>
      </c>
      <c r="B39" s="5" t="s">
        <v>52</v>
      </c>
      <c r="C39" s="6">
        <v>7350</v>
      </c>
      <c r="D39" s="5">
        <v>58</v>
      </c>
      <c r="E39" s="5"/>
      <c r="F39" s="5">
        <f t="shared" si="0"/>
        <v>58</v>
      </c>
      <c r="G39" s="77"/>
      <c r="H39" s="5"/>
      <c r="I39" s="5">
        <v>84</v>
      </c>
      <c r="J39" s="81">
        <f t="shared" si="1"/>
        <v>58</v>
      </c>
      <c r="K39" s="83">
        <f t="shared" si="2"/>
        <v>26</v>
      </c>
      <c r="L39" s="85">
        <f t="shared" si="3"/>
        <v>191100</v>
      </c>
      <c r="M39" s="88"/>
      <c r="O39" s="45" t="s">
        <v>70</v>
      </c>
      <c r="P39" s="26">
        <v>8</v>
      </c>
      <c r="Q39" s="54">
        <f>P39*20000</f>
        <v>160000</v>
      </c>
      <c r="U39" s="27">
        <f>SUM(U38)</f>
        <v>750000</v>
      </c>
    </row>
    <row r="40" spans="1:21" ht="15.6" x14ac:dyDescent="0.3">
      <c r="A40" s="4" t="s">
        <v>54</v>
      </c>
      <c r="B40" s="5" t="s">
        <v>55</v>
      </c>
      <c r="C40" s="6">
        <v>6700</v>
      </c>
      <c r="D40" s="5">
        <v>39</v>
      </c>
      <c r="E40" s="5"/>
      <c r="F40" s="5">
        <f t="shared" si="0"/>
        <v>39</v>
      </c>
      <c r="G40" s="77"/>
      <c r="H40" s="5"/>
      <c r="I40" s="5">
        <v>144</v>
      </c>
      <c r="J40" s="81">
        <f t="shared" si="1"/>
        <v>39</v>
      </c>
      <c r="K40" s="83">
        <f t="shared" si="2"/>
        <v>105</v>
      </c>
      <c r="L40" s="85">
        <f t="shared" si="3"/>
        <v>703500</v>
      </c>
      <c r="M40" s="88"/>
      <c r="O40" s="45" t="s">
        <v>126</v>
      </c>
      <c r="P40" s="26">
        <v>1</v>
      </c>
      <c r="Q40" s="54">
        <v>50000</v>
      </c>
      <c r="U40" s="27"/>
    </row>
    <row r="41" spans="1:21" ht="15.6" x14ac:dyDescent="0.3">
      <c r="A41" s="4" t="s">
        <v>56</v>
      </c>
      <c r="B41" s="5" t="s">
        <v>46</v>
      </c>
      <c r="C41" s="6">
        <v>2400</v>
      </c>
      <c r="D41" s="5">
        <v>0</v>
      </c>
      <c r="E41" s="5"/>
      <c r="F41" s="5">
        <f t="shared" si="0"/>
        <v>0</v>
      </c>
      <c r="G41" s="77"/>
      <c r="H41" s="5"/>
      <c r="I41" s="5">
        <v>20</v>
      </c>
      <c r="J41" s="81">
        <f t="shared" si="1"/>
        <v>0</v>
      </c>
      <c r="K41" s="83">
        <f t="shared" si="2"/>
        <v>20</v>
      </c>
      <c r="L41" s="85">
        <f t="shared" si="3"/>
        <v>48000</v>
      </c>
      <c r="M41" s="88"/>
      <c r="O41" s="46" t="s">
        <v>78</v>
      </c>
      <c r="P41" s="26">
        <v>1</v>
      </c>
      <c r="Q41" s="54">
        <v>550000</v>
      </c>
      <c r="S41" s="45" t="s">
        <v>132</v>
      </c>
      <c r="T41" s="26"/>
      <c r="U41" s="28"/>
    </row>
    <row r="42" spans="1:21" ht="15.6" x14ac:dyDescent="0.3">
      <c r="A42" s="16" t="s">
        <v>57</v>
      </c>
      <c r="B42" s="9"/>
      <c r="C42" s="10"/>
      <c r="D42" s="12"/>
      <c r="E42" s="11"/>
      <c r="F42" s="12"/>
      <c r="G42" s="12"/>
      <c r="H42" s="12"/>
      <c r="I42" s="12"/>
      <c r="J42" s="82"/>
      <c r="K42" s="84"/>
      <c r="L42" s="84"/>
      <c r="M42" s="78"/>
      <c r="O42" s="46" t="s">
        <v>79</v>
      </c>
      <c r="P42" s="26">
        <v>2</v>
      </c>
      <c r="Q42" s="54">
        <v>30000</v>
      </c>
      <c r="S42" s="46" t="s">
        <v>133</v>
      </c>
      <c r="T42" s="26">
        <v>1</v>
      </c>
      <c r="U42" s="28">
        <v>20000</v>
      </c>
    </row>
    <row r="43" spans="1:21" ht="15.6" x14ac:dyDescent="0.3">
      <c r="A43" s="4" t="s">
        <v>58</v>
      </c>
      <c r="B43" s="5" t="s">
        <v>59</v>
      </c>
      <c r="C43" s="6">
        <v>408</v>
      </c>
      <c r="D43" s="5">
        <v>123</v>
      </c>
      <c r="E43" s="5"/>
      <c r="F43" s="5">
        <f t="shared" si="0"/>
        <v>123</v>
      </c>
      <c r="G43" s="77"/>
      <c r="H43" s="5"/>
      <c r="I43" s="5">
        <v>150</v>
      </c>
      <c r="J43" s="81">
        <f t="shared" si="1"/>
        <v>123</v>
      </c>
      <c r="K43" s="83">
        <f t="shared" si="2"/>
        <v>27</v>
      </c>
      <c r="L43" s="85">
        <f t="shared" si="3"/>
        <v>11016</v>
      </c>
      <c r="M43" s="88"/>
      <c r="O43" s="46" t="s">
        <v>136</v>
      </c>
      <c r="P43" s="26">
        <v>2</v>
      </c>
      <c r="Q43" s="64">
        <v>30000</v>
      </c>
      <c r="U43" s="27">
        <f>SUM(U42)</f>
        <v>20000</v>
      </c>
    </row>
    <row r="44" spans="1:21" ht="15.6" x14ac:dyDescent="0.3">
      <c r="A44" s="4" t="s">
        <v>60</v>
      </c>
      <c r="B44" s="5" t="s">
        <v>61</v>
      </c>
      <c r="C44" s="6">
        <v>1361</v>
      </c>
      <c r="D44" s="5">
        <v>40</v>
      </c>
      <c r="E44" s="5"/>
      <c r="F44" s="5">
        <f t="shared" si="0"/>
        <v>40</v>
      </c>
      <c r="G44" s="77"/>
      <c r="H44" s="5"/>
      <c r="I44" s="5">
        <v>50</v>
      </c>
      <c r="J44" s="81">
        <f t="shared" si="1"/>
        <v>40</v>
      </c>
      <c r="K44" s="83">
        <f t="shared" si="2"/>
        <v>10</v>
      </c>
      <c r="L44" s="85">
        <f t="shared" si="3"/>
        <v>13610</v>
      </c>
      <c r="M44" s="88"/>
      <c r="O44" s="46" t="s">
        <v>80</v>
      </c>
      <c r="P44" s="26">
        <v>1</v>
      </c>
      <c r="Q44" s="64">
        <v>35000</v>
      </c>
      <c r="U44" s="27"/>
    </row>
    <row r="45" spans="1:21" ht="15.6" x14ac:dyDescent="0.3">
      <c r="A45" s="4" t="s">
        <v>76</v>
      </c>
      <c r="B45" s="29" t="s">
        <v>77</v>
      </c>
      <c r="C45" s="6"/>
      <c r="D45" s="5">
        <v>27</v>
      </c>
      <c r="E45" s="5"/>
      <c r="F45" s="5">
        <f t="shared" si="0"/>
        <v>27</v>
      </c>
      <c r="G45" s="77"/>
      <c r="H45" s="5"/>
      <c r="I45" s="5"/>
      <c r="J45" s="81">
        <f t="shared" si="1"/>
        <v>27</v>
      </c>
      <c r="K45" s="83"/>
      <c r="L45" s="85">
        <f t="shared" si="3"/>
        <v>0</v>
      </c>
      <c r="M45" s="88"/>
      <c r="Q45" s="56">
        <f>SUM(Q39:Q44)</f>
        <v>855000</v>
      </c>
      <c r="U45" s="27"/>
    </row>
    <row r="46" spans="1:21" ht="15.6" x14ac:dyDescent="0.3">
      <c r="A46" s="17" t="s">
        <v>62</v>
      </c>
      <c r="B46" s="12"/>
      <c r="C46" s="10"/>
      <c r="D46" s="12"/>
      <c r="E46" s="12"/>
      <c r="F46" s="12"/>
      <c r="G46" s="12"/>
      <c r="H46" s="12"/>
      <c r="I46" s="12"/>
      <c r="J46" s="82"/>
      <c r="K46" s="84"/>
      <c r="L46" s="84"/>
      <c r="M46" s="78"/>
      <c r="Q46" s="30"/>
    </row>
    <row r="47" spans="1:21" ht="15.6" x14ac:dyDescent="0.3">
      <c r="A47" s="40" t="s">
        <v>97</v>
      </c>
      <c r="B47" s="5" t="s">
        <v>19</v>
      </c>
      <c r="C47" s="6"/>
      <c r="D47" s="5">
        <v>4</v>
      </c>
      <c r="E47" s="5"/>
      <c r="F47" s="5">
        <f t="shared" si="0"/>
        <v>4</v>
      </c>
      <c r="G47" s="77"/>
      <c r="H47" s="5"/>
      <c r="I47" s="5"/>
      <c r="J47" s="81">
        <f t="shared" si="1"/>
        <v>4</v>
      </c>
      <c r="K47" s="83">
        <f t="shared" si="2"/>
        <v>-4</v>
      </c>
      <c r="L47" s="83"/>
      <c r="M47" s="89"/>
      <c r="Q47" s="56">
        <f>+Q45+Q35+Q26+T23+U33+U39+U43</f>
        <v>3330000</v>
      </c>
    </row>
    <row r="48" spans="1:21" ht="15.6" x14ac:dyDescent="0.3">
      <c r="A48" s="40" t="s">
        <v>96</v>
      </c>
      <c r="B48" s="5" t="s">
        <v>19</v>
      </c>
      <c r="C48" s="6"/>
      <c r="D48" s="5">
        <v>3</v>
      </c>
      <c r="E48" s="5"/>
      <c r="F48" s="5">
        <f t="shared" si="0"/>
        <v>3</v>
      </c>
      <c r="G48" s="77"/>
      <c r="H48" s="5"/>
      <c r="I48" s="5"/>
      <c r="J48" s="81">
        <f t="shared" si="1"/>
        <v>3</v>
      </c>
      <c r="K48" s="83">
        <f t="shared" si="2"/>
        <v>-3</v>
      </c>
      <c r="L48" s="83"/>
      <c r="M48" s="89"/>
    </row>
    <row r="49" spans="1:17" ht="15.6" x14ac:dyDescent="0.3">
      <c r="A49" s="40" t="s">
        <v>102</v>
      </c>
      <c r="B49" s="5" t="s">
        <v>19</v>
      </c>
      <c r="C49" s="6"/>
      <c r="D49" s="5">
        <v>10</v>
      </c>
      <c r="E49" s="5"/>
      <c r="F49" s="5">
        <f t="shared" si="0"/>
        <v>10</v>
      </c>
      <c r="G49" s="77"/>
      <c r="H49" s="5"/>
      <c r="I49" s="5"/>
      <c r="J49" s="81">
        <f t="shared" si="1"/>
        <v>10</v>
      </c>
      <c r="K49" s="83">
        <f t="shared" si="2"/>
        <v>-10</v>
      </c>
      <c r="L49" s="83"/>
      <c r="M49" s="89"/>
    </row>
    <row r="50" spans="1:17" ht="15.6" x14ac:dyDescent="0.3">
      <c r="A50" s="40" t="s">
        <v>118</v>
      </c>
      <c r="B50" s="5" t="s">
        <v>19</v>
      </c>
      <c r="C50" s="6"/>
      <c r="D50" s="5">
        <v>7</v>
      </c>
      <c r="E50" s="5"/>
      <c r="F50" s="5">
        <f t="shared" si="0"/>
        <v>7</v>
      </c>
      <c r="G50" s="77"/>
      <c r="H50" s="5"/>
      <c r="I50" s="41"/>
      <c r="J50" s="81"/>
      <c r="K50" s="26"/>
      <c r="L50" s="26"/>
      <c r="M50" s="86"/>
    </row>
    <row r="51" spans="1:17" ht="14.4" x14ac:dyDescent="0.3">
      <c r="A51" s="18"/>
      <c r="B51" s="18"/>
      <c r="C51" s="18"/>
      <c r="D51" s="18"/>
      <c r="E51" s="18"/>
      <c r="F51" s="18"/>
      <c r="G51" s="61"/>
      <c r="H51" s="18"/>
      <c r="I51" s="42" t="s">
        <v>64</v>
      </c>
      <c r="J51" s="43">
        <f>SUM(J2:J50)</f>
        <v>1670</v>
      </c>
      <c r="L51" s="56">
        <f>SUM(L3:L50)</f>
        <v>5640516</v>
      </c>
      <c r="M51" s="56"/>
    </row>
    <row r="52" spans="1:17" ht="14.4" x14ac:dyDescent="0.3">
      <c r="A52" s="18"/>
      <c r="B52" s="18"/>
      <c r="C52" s="18"/>
      <c r="D52" s="18"/>
      <c r="E52" s="18"/>
      <c r="F52" s="18"/>
      <c r="G52" s="18"/>
      <c r="H52" s="18"/>
      <c r="I52" s="44" t="s">
        <v>98</v>
      </c>
      <c r="J52" s="65">
        <f>+O57</f>
        <v>5244700</v>
      </c>
      <c r="N52" s="74" t="s">
        <v>113</v>
      </c>
      <c r="O52" s="74"/>
    </row>
    <row r="53" spans="1:17" ht="14.4" x14ac:dyDescent="0.3">
      <c r="A53" s="18"/>
      <c r="B53" s="18"/>
      <c r="C53" s="18"/>
      <c r="D53" s="18"/>
      <c r="E53" s="18"/>
      <c r="F53" s="18"/>
      <c r="G53" s="18"/>
      <c r="H53" s="18"/>
      <c r="I53" s="44" t="s">
        <v>99</v>
      </c>
      <c r="J53" s="66">
        <f>+NOMINA!F22</f>
        <v>2535000</v>
      </c>
      <c r="N53" s="45" t="s">
        <v>110</v>
      </c>
      <c r="O53" s="54">
        <f>790000+475000</f>
        <v>1265000</v>
      </c>
    </row>
    <row r="54" spans="1:17" ht="14.4" x14ac:dyDescent="0.3">
      <c r="A54" s="18"/>
      <c r="B54" s="18"/>
      <c r="C54" s="18"/>
      <c r="D54" s="18"/>
      <c r="E54" s="18"/>
      <c r="F54" s="18"/>
      <c r="G54" s="18"/>
      <c r="H54" s="18"/>
      <c r="I54" s="44" t="s">
        <v>100</v>
      </c>
      <c r="J54" s="66">
        <f>+NOMINA!C27</f>
        <v>59000</v>
      </c>
      <c r="N54" s="45" t="s">
        <v>111</v>
      </c>
      <c r="O54" s="54">
        <f>1005700+235000</f>
        <v>1240700</v>
      </c>
      <c r="Q54" s="60"/>
    </row>
    <row r="55" spans="1:17" ht="14.4" x14ac:dyDescent="0.3">
      <c r="A55" s="18"/>
      <c r="B55" s="18"/>
      <c r="C55" s="18"/>
      <c r="D55" s="18"/>
      <c r="E55" s="18"/>
      <c r="F55" s="18"/>
      <c r="G55" s="18"/>
      <c r="H55" s="18"/>
      <c r="I55" s="44" t="s">
        <v>64</v>
      </c>
      <c r="J55" s="67">
        <f>+J51-J52-J53-J54</f>
        <v>-7837030</v>
      </c>
      <c r="N55" s="45" t="s">
        <v>112</v>
      </c>
      <c r="O55" s="54">
        <f>470000+1091000</f>
        <v>1561000</v>
      </c>
      <c r="Q55" s="27"/>
    </row>
    <row r="56" spans="1:17" ht="14.4" x14ac:dyDescent="0.3">
      <c r="A56" s="18"/>
      <c r="B56" s="18"/>
      <c r="C56" s="18"/>
      <c r="D56" s="18"/>
      <c r="E56" s="18"/>
      <c r="F56" s="18"/>
      <c r="G56" s="18"/>
      <c r="H56" s="18"/>
      <c r="I56" s="44" t="s">
        <v>94</v>
      </c>
      <c r="J56" s="67">
        <f>+Q14</f>
        <v>6129000</v>
      </c>
      <c r="N56" s="46" t="s">
        <v>114</v>
      </c>
      <c r="O56" s="28">
        <f>812000+366000</f>
        <v>1178000</v>
      </c>
      <c r="Q56" s="60"/>
    </row>
    <row r="57" spans="1:17" ht="14.4" x14ac:dyDescent="0.3">
      <c r="A57" s="18"/>
      <c r="B57" s="18"/>
      <c r="C57" s="18"/>
      <c r="D57" s="18"/>
      <c r="E57" s="18"/>
      <c r="F57" s="18"/>
      <c r="G57" s="18"/>
      <c r="H57" s="18"/>
      <c r="I57" s="44" t="s">
        <v>101</v>
      </c>
      <c r="J57" s="68">
        <f>+J56-J55</f>
        <v>13966030</v>
      </c>
      <c r="N57" s="48" t="s">
        <v>115</v>
      </c>
      <c r="O57" s="59">
        <f>SUM(O53:O56)</f>
        <v>5244700</v>
      </c>
    </row>
    <row r="58" spans="1:17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N58" s="57"/>
      <c r="O58" s="58"/>
    </row>
    <row r="59" spans="1:17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O59" s="56"/>
    </row>
    <row r="60" spans="1:17" ht="15.6" x14ac:dyDescent="0.3">
      <c r="A60" s="18"/>
      <c r="B60" s="18"/>
      <c r="C60" s="18"/>
      <c r="D60" s="5">
        <v>2</v>
      </c>
      <c r="E60" s="5" t="e">
        <f>(#REF!+A60-C60-D60-B60)</f>
        <v>#REF!</v>
      </c>
      <c r="F60" s="18"/>
      <c r="G60" s="18"/>
      <c r="H60" s="18"/>
      <c r="I60" s="18"/>
      <c r="J60" s="18"/>
    </row>
    <row r="61" spans="1:17" ht="15.6" x14ac:dyDescent="0.3">
      <c r="A61" s="18"/>
      <c r="B61" s="18"/>
      <c r="C61" s="18"/>
      <c r="D61" s="5">
        <v>0</v>
      </c>
      <c r="E61" s="5" t="e">
        <f t="shared" ref="E61" si="5">(#REF!+A61-C61-D61-B61)</f>
        <v>#REF!</v>
      </c>
      <c r="F61" s="18"/>
      <c r="G61" s="18"/>
      <c r="H61" s="18"/>
      <c r="I61" s="18"/>
      <c r="J61" s="18"/>
    </row>
    <row r="62" spans="1:17" ht="15.6" x14ac:dyDescent="0.3">
      <c r="A62" s="18"/>
      <c r="B62" s="18"/>
      <c r="C62" s="18"/>
      <c r="D62" s="12"/>
      <c r="E62" s="12"/>
      <c r="F62" s="18"/>
      <c r="G62" s="18"/>
      <c r="H62" s="18"/>
      <c r="I62" s="18"/>
      <c r="J62" s="61"/>
    </row>
    <row r="63" spans="1:17" ht="15.6" x14ac:dyDescent="0.3">
      <c r="A63" s="18"/>
      <c r="B63" s="18"/>
      <c r="C63" s="18"/>
      <c r="D63" s="5">
        <v>3</v>
      </c>
      <c r="E63" s="5" t="e">
        <f t="shared" ref="E63:E66" si="6">(#REF!+A63-C63-D63-B63)</f>
        <v>#REF!</v>
      </c>
      <c r="F63" s="18"/>
      <c r="G63" s="18"/>
      <c r="H63" s="18"/>
      <c r="I63" s="18"/>
      <c r="J63" s="62"/>
    </row>
    <row r="64" spans="1:17" ht="15.6" x14ac:dyDescent="0.3">
      <c r="A64" s="18"/>
      <c r="B64" s="18"/>
      <c r="C64" s="18"/>
      <c r="D64" s="5">
        <v>6</v>
      </c>
      <c r="E64" s="5" t="e">
        <f t="shared" ref="E64:E67" si="7">(#REF!+A64-C64-D64-B64)</f>
        <v>#REF!</v>
      </c>
      <c r="F64" s="18"/>
      <c r="G64" s="18"/>
      <c r="H64" s="18"/>
      <c r="I64" s="18"/>
      <c r="J64" s="18"/>
    </row>
    <row r="65" spans="1:10" ht="15.6" x14ac:dyDescent="0.3">
      <c r="A65" s="18"/>
      <c r="B65" s="18"/>
      <c r="C65" s="18"/>
      <c r="D65" s="5">
        <v>4</v>
      </c>
      <c r="E65" s="5" t="e">
        <f t="shared" ref="E65:E68" si="8">(#REF!+A65-C65-D65-B65)</f>
        <v>#REF!</v>
      </c>
      <c r="F65" s="18"/>
      <c r="G65" s="18"/>
      <c r="H65" s="18"/>
      <c r="I65" s="18"/>
      <c r="J65" s="18"/>
    </row>
    <row r="66" spans="1:10" ht="15.6" x14ac:dyDescent="0.3">
      <c r="A66" s="18"/>
      <c r="B66" s="18"/>
      <c r="C66" s="18"/>
      <c r="D66" s="5">
        <v>3</v>
      </c>
      <c r="E66" s="5" t="e">
        <f t="shared" ref="E66:E69" si="9">(#REF!+A66-C66-D66-B66)</f>
        <v>#REF!</v>
      </c>
      <c r="F66" s="18"/>
      <c r="G66" s="18"/>
      <c r="H66" s="18"/>
      <c r="I66" s="18"/>
      <c r="J66" s="18"/>
    </row>
    <row r="67" spans="1:10" ht="15.6" x14ac:dyDescent="0.3">
      <c r="A67" s="18"/>
      <c r="B67" s="18"/>
      <c r="C67" s="18"/>
      <c r="D67" s="5">
        <v>3</v>
      </c>
      <c r="E67" s="5" t="e">
        <f t="shared" ref="E67:E68" si="10">(#REF!+A67-C67-D67-B67)</f>
        <v>#REF!</v>
      </c>
      <c r="F67" s="18"/>
      <c r="G67" s="18"/>
      <c r="H67" s="18"/>
      <c r="I67" s="18"/>
      <c r="J67" s="18"/>
    </row>
    <row r="68" spans="1:10" ht="15.6" x14ac:dyDescent="0.3">
      <c r="A68" s="18"/>
      <c r="B68" s="18"/>
      <c r="C68" s="18"/>
      <c r="D68" s="5">
        <v>4</v>
      </c>
      <c r="E68" s="5" t="e">
        <f t="shared" ref="E68:E69" si="11">(#REF!+A68-C68-D68-B68)</f>
        <v>#REF!</v>
      </c>
      <c r="F68" s="18"/>
      <c r="G68" s="18"/>
      <c r="H68" s="18"/>
      <c r="I68" s="18"/>
      <c r="J68" s="18"/>
    </row>
    <row r="69" spans="1:10" ht="15.6" x14ac:dyDescent="0.3">
      <c r="A69" s="18"/>
      <c r="B69" s="18"/>
      <c r="C69" s="18"/>
      <c r="D69" s="5">
        <v>8</v>
      </c>
      <c r="E69" s="5" t="e">
        <f t="shared" ref="E69" si="12">(#REF!+A69-C69-D69-B69)</f>
        <v>#REF!</v>
      </c>
      <c r="F69" s="18"/>
      <c r="G69" s="18"/>
      <c r="H69" s="18"/>
      <c r="I69" s="18"/>
      <c r="J69" s="18"/>
    </row>
    <row r="70" spans="1:10" ht="15.6" x14ac:dyDescent="0.3">
      <c r="A70" s="18"/>
      <c r="B70" s="18"/>
      <c r="C70" s="18"/>
      <c r="D70" s="12"/>
      <c r="E70" s="12"/>
      <c r="F70" s="18"/>
      <c r="G70" s="18"/>
      <c r="H70" s="18"/>
      <c r="I70" s="18"/>
      <c r="J70" s="18"/>
    </row>
    <row r="71" spans="1:10" ht="15.6" x14ac:dyDescent="0.3">
      <c r="A71" s="18"/>
      <c r="B71" s="18"/>
      <c r="C71" s="18"/>
      <c r="D71" s="5">
        <v>3</v>
      </c>
      <c r="E71" s="5" t="e">
        <f t="shared" ref="E71:E74" si="13">(#REF!+A71-C71-D71-B71)</f>
        <v>#REF!</v>
      </c>
      <c r="F71" s="18"/>
      <c r="G71" s="18"/>
      <c r="H71" s="18"/>
      <c r="I71" s="18"/>
      <c r="J71" s="18"/>
    </row>
    <row r="72" spans="1:10" ht="15.6" x14ac:dyDescent="0.3">
      <c r="A72" s="18"/>
      <c r="B72" s="18"/>
      <c r="C72" s="18"/>
      <c r="D72" s="5">
        <v>0</v>
      </c>
      <c r="E72" s="5" t="e">
        <f t="shared" ref="E72:E75" si="14">(#REF!+A72-C72-D72-B72)</f>
        <v>#REF!</v>
      </c>
      <c r="F72" s="18"/>
      <c r="G72" s="18"/>
      <c r="H72" s="18"/>
      <c r="I72" s="18"/>
      <c r="J72" s="18"/>
    </row>
    <row r="73" spans="1:10" ht="15.6" x14ac:dyDescent="0.3">
      <c r="A73" s="18"/>
      <c r="B73" s="18"/>
      <c r="C73" s="18"/>
      <c r="D73" s="5">
        <v>0</v>
      </c>
      <c r="E73" s="5" t="e">
        <f t="shared" ref="E73:E76" si="15">(#REF!+A73-C73-D73-B73)</f>
        <v>#REF!</v>
      </c>
      <c r="F73" s="18"/>
      <c r="G73" s="18"/>
      <c r="H73" s="18"/>
      <c r="I73" s="18"/>
      <c r="J73" s="18"/>
    </row>
    <row r="74" spans="1:10" ht="15.6" x14ac:dyDescent="0.3">
      <c r="A74" s="18"/>
      <c r="B74" s="18"/>
      <c r="C74" s="18"/>
      <c r="D74" s="5">
        <v>8</v>
      </c>
      <c r="E74" s="5" t="e">
        <f t="shared" ref="E74:E77" si="16">(#REF!+A74-C74-D74-B74)</f>
        <v>#REF!</v>
      </c>
      <c r="F74" s="18"/>
      <c r="G74" s="18"/>
      <c r="H74" s="18"/>
      <c r="I74" s="18"/>
      <c r="J74" s="18"/>
    </row>
    <row r="75" spans="1:10" ht="15.6" x14ac:dyDescent="0.3">
      <c r="A75" s="18"/>
      <c r="B75" s="18"/>
      <c r="C75" s="18"/>
      <c r="D75" s="12"/>
      <c r="E75" s="12"/>
      <c r="F75" s="18"/>
      <c r="G75" s="18"/>
      <c r="H75" s="18"/>
      <c r="I75" s="18"/>
      <c r="J75" s="18"/>
    </row>
    <row r="76" spans="1:10" ht="15.6" x14ac:dyDescent="0.3">
      <c r="A76" s="18"/>
      <c r="B76" s="18"/>
      <c r="C76" s="18"/>
      <c r="D76" s="5">
        <v>9</v>
      </c>
      <c r="E76" s="5" t="e">
        <f t="shared" ref="E76:E78" si="17">(#REF!+A76-C76-D76-B76)</f>
        <v>#REF!</v>
      </c>
      <c r="F76" s="18"/>
      <c r="G76" s="18"/>
      <c r="H76" s="18"/>
      <c r="I76" s="18"/>
      <c r="J76" s="18"/>
    </row>
    <row r="77" spans="1:10" ht="15.6" x14ac:dyDescent="0.3">
      <c r="D77" s="5">
        <v>8</v>
      </c>
      <c r="E77" s="5" t="e">
        <f t="shared" ref="E77:E79" si="18">(#REF!+A77-C77-D77-B77)</f>
        <v>#REF!</v>
      </c>
    </row>
    <row r="78" spans="1:10" ht="15.75" customHeight="1" x14ac:dyDescent="0.3">
      <c r="D78" s="5">
        <v>11</v>
      </c>
      <c r="E78" s="5" t="e">
        <f t="shared" ref="E78:E80" si="19">(#REF!+A78-C78-D78-B78)</f>
        <v>#REF!</v>
      </c>
    </row>
    <row r="79" spans="1:10" ht="15.75" customHeight="1" x14ac:dyDescent="0.3">
      <c r="D79" s="12"/>
      <c r="E79" s="12"/>
    </row>
    <row r="80" spans="1:10" ht="15.75" customHeight="1" x14ac:dyDescent="0.3">
      <c r="D80" s="5">
        <v>0</v>
      </c>
      <c r="E80" s="5" t="e">
        <f t="shared" ref="E80:E81" si="20">(#REF!+A80-C80-D80-B80)</f>
        <v>#REF!</v>
      </c>
    </row>
    <row r="81" spans="4:5" ht="15.75" customHeight="1" x14ac:dyDescent="0.3">
      <c r="D81" s="5">
        <v>5</v>
      </c>
      <c r="E81" s="5" t="e">
        <f t="shared" ref="E81:E82" si="21">(#REF!+A81-C81-D81-B81)</f>
        <v>#REF!</v>
      </c>
    </row>
    <row r="82" spans="4:5" ht="15.75" customHeight="1" x14ac:dyDescent="0.3">
      <c r="D82" s="12"/>
      <c r="E82" s="12"/>
    </row>
    <row r="83" spans="4:5" ht="15.75" customHeight="1" x14ac:dyDescent="0.3">
      <c r="D83" s="5">
        <v>0</v>
      </c>
      <c r="E83" s="5" t="e">
        <f t="shared" ref="E83:E84" si="22">(#REF!+A83-C83-D83-B83)</f>
        <v>#REF!</v>
      </c>
    </row>
    <row r="84" spans="4:5" ht="15.75" customHeight="1" x14ac:dyDescent="0.3">
      <c r="D84" s="5">
        <v>0</v>
      </c>
      <c r="E84" s="5" t="e">
        <f t="shared" ref="E84:E85" si="23">(#REF!+A84-C84-D84-B84)</f>
        <v>#REF!</v>
      </c>
    </row>
    <row r="85" spans="4:5" ht="15.75" customHeight="1" x14ac:dyDescent="0.3">
      <c r="D85" s="15"/>
      <c r="E85" s="12"/>
    </row>
    <row r="86" spans="4:5" ht="15.75" customHeight="1" x14ac:dyDescent="0.3">
      <c r="D86" s="5">
        <v>153</v>
      </c>
      <c r="E86" s="5" t="e">
        <f t="shared" ref="E86" si="24">(#REF!+A86-C86-D86-B86)</f>
        <v>#REF!</v>
      </c>
    </row>
    <row r="87" spans="4:5" ht="15.75" customHeight="1" x14ac:dyDescent="0.3">
      <c r="D87" s="5">
        <v>150</v>
      </c>
      <c r="E87" s="5" t="e">
        <f>(#REF!+A87-C87-D87-B87)</f>
        <v>#REF!</v>
      </c>
    </row>
    <row r="88" spans="4:5" ht="15.75" customHeight="1" x14ac:dyDescent="0.3">
      <c r="D88" s="12"/>
      <c r="E88" s="12"/>
    </row>
    <row r="89" spans="4:5" ht="15.75" customHeight="1" x14ac:dyDescent="0.3">
      <c r="D89" s="5">
        <v>15</v>
      </c>
      <c r="E89" s="5" t="e">
        <f t="shared" ref="E89:E92" si="25">(#REF!+A89-C89-D89-B89)</f>
        <v>#REF!</v>
      </c>
    </row>
    <row r="90" spans="4:5" ht="15.75" customHeight="1" x14ac:dyDescent="0.3">
      <c r="D90" s="5">
        <v>15</v>
      </c>
      <c r="E90" s="5" t="e">
        <f t="shared" ref="E90:E93" si="26">(#REF!+A90-C90-D90-B90)</f>
        <v>#REF!</v>
      </c>
    </row>
    <row r="91" spans="4:5" ht="15.75" customHeight="1" x14ac:dyDescent="0.3">
      <c r="D91" s="5">
        <v>62</v>
      </c>
      <c r="E91" s="5" t="e">
        <f t="shared" ref="E91:E94" si="27">(#REF!+A91-C91-D91-B91)</f>
        <v>#REF!</v>
      </c>
    </row>
    <row r="92" spans="4:5" ht="15.75" customHeight="1" x14ac:dyDescent="0.3">
      <c r="D92" s="5">
        <v>17</v>
      </c>
      <c r="E92" s="5" t="e">
        <f t="shared" ref="E92:E95" si="28">(#REF!+A92-C92-D92-B92)</f>
        <v>#REF!</v>
      </c>
    </row>
    <row r="93" spans="4:5" ht="15.75" customHeight="1" x14ac:dyDescent="0.3">
      <c r="D93" s="12"/>
      <c r="E93" s="12"/>
    </row>
    <row r="94" spans="4:5" ht="15.75" customHeight="1" x14ac:dyDescent="0.3">
      <c r="D94" s="5">
        <v>87</v>
      </c>
      <c r="E94" s="5" t="e">
        <f t="shared" ref="E94:E98" si="29">(#REF!+A94-C94-D94-B94)</f>
        <v>#REF!</v>
      </c>
    </row>
    <row r="95" spans="4:5" ht="15.75" customHeight="1" x14ac:dyDescent="0.3">
      <c r="D95" s="5">
        <v>0</v>
      </c>
      <c r="E95" s="5" t="e">
        <f t="shared" ref="E95:E99" si="30">(#REF!+A95-C95-D95-B95)</f>
        <v>#REF!</v>
      </c>
    </row>
    <row r="96" spans="4:5" ht="15.75" customHeight="1" x14ac:dyDescent="0.3">
      <c r="D96" s="5">
        <v>58</v>
      </c>
      <c r="E96" s="5" t="e">
        <f t="shared" ref="E96:E100" si="31">(#REF!+A96-C96-D96-B96)</f>
        <v>#REF!</v>
      </c>
    </row>
    <row r="97" spans="4:5" ht="15.75" customHeight="1" x14ac:dyDescent="0.3">
      <c r="D97" s="5">
        <v>39</v>
      </c>
      <c r="E97" s="5" t="e">
        <f t="shared" ref="E97:E101" si="32">(#REF!+A97-C97-D97-B97)</f>
        <v>#REF!</v>
      </c>
    </row>
    <row r="98" spans="4:5" ht="15.75" customHeight="1" x14ac:dyDescent="0.3">
      <c r="D98" s="5">
        <v>0</v>
      </c>
      <c r="E98" s="5" t="e">
        <f t="shared" ref="E98:E102" si="33">(#REF!+A98-C98-D98-B98)</f>
        <v>#REF!</v>
      </c>
    </row>
    <row r="99" spans="4:5" ht="15.75" customHeight="1" x14ac:dyDescent="0.3">
      <c r="D99" s="12"/>
      <c r="E99" s="12"/>
    </row>
    <row r="100" spans="4:5" ht="15.75" customHeight="1" x14ac:dyDescent="0.3">
      <c r="D100" s="5">
        <v>123</v>
      </c>
      <c r="E100" s="5" t="e">
        <f t="shared" ref="E100:E102" si="34">(#REF!+A100-C100-D100-B100)</f>
        <v>#REF!</v>
      </c>
    </row>
    <row r="101" spans="4:5" ht="15.75" customHeight="1" x14ac:dyDescent="0.3">
      <c r="D101" s="5">
        <v>40</v>
      </c>
      <c r="E101" s="5" t="e">
        <f t="shared" ref="E101:E103" si="35">(#REF!+A101-C101-D101-B101)</f>
        <v>#REF!</v>
      </c>
    </row>
    <row r="102" spans="4:5" ht="15.75" customHeight="1" x14ac:dyDescent="0.3">
      <c r="D102" s="5">
        <v>27</v>
      </c>
      <c r="E102" s="5" t="e">
        <f t="shared" ref="E102:E104" si="36">(#REF!+A102-C102-D102-B102)</f>
        <v>#REF!</v>
      </c>
    </row>
    <row r="103" spans="4:5" ht="15.75" customHeight="1" x14ac:dyDescent="0.3">
      <c r="D103" s="12"/>
      <c r="E103" s="12"/>
    </row>
    <row r="104" spans="4:5" ht="15.75" customHeight="1" x14ac:dyDescent="0.3">
      <c r="D104" s="5">
        <v>4</v>
      </c>
      <c r="E104" s="5" t="e">
        <f>(#REF!+A104-C104-D104-B104)</f>
        <v>#REF!</v>
      </c>
    </row>
    <row r="105" spans="4:5" ht="15.75" customHeight="1" x14ac:dyDescent="0.3">
      <c r="D105" s="5">
        <v>3</v>
      </c>
      <c r="E105" s="5" t="e">
        <f>(#REF!+A105-C105-D105-B105)</f>
        <v>#REF!</v>
      </c>
    </row>
    <row r="106" spans="4:5" ht="15.75" customHeight="1" x14ac:dyDescent="0.3">
      <c r="D106" s="5">
        <v>10</v>
      </c>
      <c r="E106" s="5" t="e">
        <f>(#REF!+A106-C106-D106-B106)</f>
        <v>#REF!</v>
      </c>
    </row>
    <row r="107" spans="4:5" ht="15.75" customHeight="1" x14ac:dyDescent="0.3">
      <c r="D107" s="5">
        <v>7</v>
      </c>
      <c r="E107" s="41" t="e">
        <f>(#REF!+A107-C107-D107-B107)</f>
        <v>#REF!</v>
      </c>
    </row>
  </sheetData>
  <mergeCells count="3">
    <mergeCell ref="O2:Q2"/>
    <mergeCell ref="O14:P14"/>
    <mergeCell ref="N52:O52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8A9B-0A98-47B6-8800-E92667FA72CD}">
  <dimension ref="A1"/>
  <sheetViews>
    <sheetView workbookViewId="0">
      <selection activeCell="B3" sqref="B3:B50"/>
    </sheetView>
  </sheetViews>
  <sheetFormatPr baseColWidth="10"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39CC-5655-4E90-AC6C-65BC39F06976}">
  <sheetPr>
    <outlinePr summaryBelow="0" summaryRight="0"/>
    <pageSetUpPr fitToPage="1"/>
  </sheetPr>
  <dimension ref="A1:K70"/>
  <sheetViews>
    <sheetView workbookViewId="0">
      <selection activeCell="L9" sqref="L9"/>
    </sheetView>
  </sheetViews>
  <sheetFormatPr baseColWidth="10" defaultColWidth="12.6640625" defaultRowHeight="15.75" customHeight="1" x14ac:dyDescent="0.25"/>
  <cols>
    <col min="1" max="1" width="30.88671875" customWidth="1"/>
    <col min="2" max="2" width="11.109375" customWidth="1"/>
    <col min="4" max="4" width="10.6640625" customWidth="1"/>
    <col min="5" max="5" width="10.33203125" customWidth="1"/>
    <col min="6" max="6" width="8.88671875" customWidth="1"/>
    <col min="7" max="8" width="11" customWidth="1"/>
    <col min="9" max="9" width="19.664062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.75" customHeight="1" x14ac:dyDescent="0.3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1" ht="15.75" customHeight="1" x14ac:dyDescent="0.3">
      <c r="A3" s="4" t="s">
        <v>11</v>
      </c>
      <c r="B3" s="5" t="s">
        <v>12</v>
      </c>
      <c r="C3" s="6">
        <v>1200000</v>
      </c>
      <c r="D3" s="5">
        <v>2</v>
      </c>
      <c r="E3" s="5">
        <v>0</v>
      </c>
      <c r="F3" s="5">
        <v>0</v>
      </c>
      <c r="G3" s="5">
        <v>0</v>
      </c>
      <c r="H3" s="5">
        <v>2</v>
      </c>
      <c r="I3" s="5">
        <f t="shared" ref="I3:I4" si="0">(D3+E3-G3-H3-F3)</f>
        <v>0</v>
      </c>
      <c r="J3" s="6">
        <f t="shared" ref="J3:J4" si="1">I3*C3</f>
        <v>0</v>
      </c>
      <c r="K3" s="7">
        <v>535050</v>
      </c>
    </row>
    <row r="4" spans="1:11" ht="15.75" customHeight="1" x14ac:dyDescent="0.3">
      <c r="A4" s="4" t="s">
        <v>13</v>
      </c>
      <c r="B4" s="5" t="s">
        <v>14</v>
      </c>
      <c r="C4" s="6">
        <v>200000</v>
      </c>
      <c r="D4" s="5">
        <v>5</v>
      </c>
      <c r="E4" s="5">
        <v>0</v>
      </c>
      <c r="F4" s="5">
        <v>0</v>
      </c>
      <c r="G4" s="5">
        <v>0</v>
      </c>
      <c r="H4" s="5">
        <v>0</v>
      </c>
      <c r="I4" s="5">
        <f t="shared" si="0"/>
        <v>5</v>
      </c>
      <c r="J4" s="6">
        <f t="shared" si="1"/>
        <v>1000000</v>
      </c>
    </row>
    <row r="5" spans="1:11" ht="15.75" customHeight="1" x14ac:dyDescent="0.3">
      <c r="A5" s="8" t="s">
        <v>15</v>
      </c>
      <c r="B5" s="9"/>
      <c r="C5" s="10"/>
      <c r="D5" s="11"/>
      <c r="E5" s="11"/>
      <c r="F5" s="9"/>
      <c r="G5" s="12"/>
      <c r="H5" s="12"/>
      <c r="I5" s="12"/>
      <c r="J5" s="12"/>
    </row>
    <row r="6" spans="1:11" ht="15.75" customHeight="1" x14ac:dyDescent="0.3">
      <c r="A6" s="4" t="s">
        <v>16</v>
      </c>
      <c r="B6" s="5" t="s">
        <v>17</v>
      </c>
      <c r="C6" s="6">
        <v>1000000</v>
      </c>
      <c r="D6" s="5">
        <v>4</v>
      </c>
      <c r="E6" s="5">
        <v>0</v>
      </c>
      <c r="F6" s="5">
        <v>0</v>
      </c>
      <c r="G6" s="5">
        <v>0</v>
      </c>
      <c r="H6" s="5">
        <v>3</v>
      </c>
      <c r="I6" s="5">
        <f t="shared" ref="I6:I12" si="2">(D6+E6-G6-H6-F6)</f>
        <v>1</v>
      </c>
      <c r="J6" s="6">
        <f t="shared" ref="J6:J12" si="3">I6*C6</f>
        <v>1000000</v>
      </c>
    </row>
    <row r="7" spans="1:11" ht="15.75" customHeight="1" x14ac:dyDescent="0.3">
      <c r="A7" s="4" t="s">
        <v>18</v>
      </c>
      <c r="B7" s="5" t="s">
        <v>19</v>
      </c>
      <c r="C7" s="6">
        <v>800000</v>
      </c>
      <c r="D7" s="5">
        <v>6</v>
      </c>
      <c r="E7" s="5">
        <v>0</v>
      </c>
      <c r="F7" s="5">
        <v>0</v>
      </c>
      <c r="G7" s="5">
        <v>0</v>
      </c>
      <c r="H7" s="5">
        <v>6</v>
      </c>
      <c r="I7" s="5">
        <f t="shared" si="2"/>
        <v>0</v>
      </c>
      <c r="J7" s="6">
        <f t="shared" si="3"/>
        <v>0</v>
      </c>
    </row>
    <row r="8" spans="1:11" ht="15.75" customHeight="1" x14ac:dyDescent="0.3">
      <c r="A8" s="4" t="s">
        <v>20</v>
      </c>
      <c r="B8" s="5" t="s">
        <v>19</v>
      </c>
      <c r="C8" s="6">
        <v>750000</v>
      </c>
      <c r="D8" s="5">
        <v>5</v>
      </c>
      <c r="E8" s="5">
        <v>0</v>
      </c>
      <c r="F8" s="5">
        <v>0</v>
      </c>
      <c r="G8" s="5">
        <v>0</v>
      </c>
      <c r="H8" s="5">
        <v>4</v>
      </c>
      <c r="I8" s="5">
        <f t="shared" si="2"/>
        <v>1</v>
      </c>
      <c r="J8" s="6">
        <f t="shared" si="3"/>
        <v>750000</v>
      </c>
    </row>
    <row r="9" spans="1:11" ht="15.75" customHeight="1" x14ac:dyDescent="0.3">
      <c r="A9" s="4" t="s">
        <v>74</v>
      </c>
      <c r="B9" s="5" t="s">
        <v>19</v>
      </c>
      <c r="C9" s="6">
        <v>1000000</v>
      </c>
      <c r="D9" s="5">
        <v>3</v>
      </c>
      <c r="E9" s="5">
        <v>0</v>
      </c>
      <c r="F9" s="5">
        <v>0</v>
      </c>
      <c r="G9" s="5">
        <v>0</v>
      </c>
      <c r="H9" s="5">
        <v>3</v>
      </c>
      <c r="I9" s="5">
        <f t="shared" si="2"/>
        <v>0</v>
      </c>
      <c r="J9" s="6">
        <f t="shared" si="3"/>
        <v>0</v>
      </c>
    </row>
    <row r="10" spans="1:11" ht="15.75" customHeight="1" x14ac:dyDescent="0.3">
      <c r="A10" s="4" t="s">
        <v>73</v>
      </c>
      <c r="B10" s="5" t="s">
        <v>19</v>
      </c>
      <c r="C10" s="6">
        <v>800000</v>
      </c>
      <c r="D10" s="5">
        <v>3</v>
      </c>
      <c r="E10" s="5">
        <v>0</v>
      </c>
      <c r="F10" s="5">
        <v>0</v>
      </c>
      <c r="G10" s="5">
        <v>0</v>
      </c>
      <c r="H10" s="5">
        <v>3</v>
      </c>
      <c r="I10" s="5">
        <f t="shared" si="2"/>
        <v>0</v>
      </c>
      <c r="J10" s="6">
        <f t="shared" si="3"/>
        <v>0</v>
      </c>
    </row>
    <row r="11" spans="1:11" ht="15.75" customHeight="1" x14ac:dyDescent="0.3">
      <c r="A11" s="4" t="s">
        <v>21</v>
      </c>
      <c r="B11" s="5" t="s">
        <v>19</v>
      </c>
      <c r="C11" s="6">
        <v>300000</v>
      </c>
      <c r="D11" s="5">
        <v>5</v>
      </c>
      <c r="E11" s="5">
        <v>0</v>
      </c>
      <c r="F11" s="5">
        <v>0</v>
      </c>
      <c r="G11" s="5">
        <v>0</v>
      </c>
      <c r="H11" s="5">
        <v>5</v>
      </c>
      <c r="I11" s="5">
        <f t="shared" si="2"/>
        <v>0</v>
      </c>
      <c r="J11" s="6">
        <f t="shared" si="3"/>
        <v>0</v>
      </c>
    </row>
    <row r="12" spans="1:11" ht="15.75" customHeight="1" x14ac:dyDescent="0.3">
      <c r="A12" s="4" t="s">
        <v>22</v>
      </c>
      <c r="B12" s="5" t="s">
        <v>19</v>
      </c>
      <c r="C12" s="6">
        <v>300000</v>
      </c>
      <c r="D12" s="5">
        <v>8</v>
      </c>
      <c r="E12" s="5">
        <v>8</v>
      </c>
      <c r="F12" s="5">
        <v>0</v>
      </c>
      <c r="G12" s="5">
        <v>0</v>
      </c>
      <c r="H12" s="5">
        <v>16</v>
      </c>
      <c r="I12" s="5">
        <f t="shared" si="2"/>
        <v>0</v>
      </c>
      <c r="J12" s="6">
        <f t="shared" si="3"/>
        <v>0</v>
      </c>
    </row>
    <row r="13" spans="1:11" ht="15.75" customHeight="1" x14ac:dyDescent="0.3">
      <c r="A13" s="8" t="s">
        <v>23</v>
      </c>
      <c r="B13" s="9"/>
      <c r="C13" s="10"/>
      <c r="D13" s="11"/>
      <c r="E13" s="11"/>
      <c r="F13" s="9"/>
      <c r="G13" s="12"/>
      <c r="H13" s="12"/>
      <c r="I13" s="12"/>
      <c r="J13" s="12"/>
    </row>
    <row r="14" spans="1:11" ht="15.75" customHeight="1" x14ac:dyDescent="0.3">
      <c r="A14" s="4" t="s">
        <v>24</v>
      </c>
      <c r="B14" s="5" t="s">
        <v>19</v>
      </c>
      <c r="C14" s="6">
        <v>400000</v>
      </c>
      <c r="D14" s="5">
        <v>6</v>
      </c>
      <c r="E14" s="5">
        <v>0</v>
      </c>
      <c r="F14" s="5">
        <v>0</v>
      </c>
      <c r="G14" s="5">
        <v>0</v>
      </c>
      <c r="H14" s="5">
        <v>3</v>
      </c>
      <c r="I14" s="5">
        <f t="shared" ref="I14:I15" si="4">(D14+E14-G14-H14-F14)</f>
        <v>3</v>
      </c>
      <c r="J14" s="6">
        <f t="shared" ref="J14:J15" si="5">I14*C14</f>
        <v>1200000</v>
      </c>
    </row>
    <row r="15" spans="1:11" ht="15.75" customHeight="1" x14ac:dyDescent="0.3">
      <c r="A15" s="4" t="s">
        <v>25</v>
      </c>
      <c r="B15" s="5" t="s">
        <v>19</v>
      </c>
      <c r="C15" s="6">
        <v>320000</v>
      </c>
      <c r="D15" s="5">
        <v>10</v>
      </c>
      <c r="E15" s="5">
        <v>12</v>
      </c>
      <c r="F15" s="5">
        <v>0</v>
      </c>
      <c r="G15" s="5">
        <v>0</v>
      </c>
      <c r="H15" s="5">
        <v>21</v>
      </c>
      <c r="I15" s="5">
        <f t="shared" si="4"/>
        <v>1</v>
      </c>
      <c r="J15" s="6">
        <f t="shared" si="5"/>
        <v>320000</v>
      </c>
    </row>
    <row r="16" spans="1:11" ht="15.75" customHeight="1" x14ac:dyDescent="0.3">
      <c r="A16" s="8" t="s">
        <v>26</v>
      </c>
      <c r="B16" s="9"/>
      <c r="C16" s="10"/>
      <c r="D16" s="11"/>
      <c r="E16" s="11"/>
      <c r="F16" s="9"/>
      <c r="G16" s="12"/>
      <c r="H16" s="12"/>
      <c r="I16" s="12"/>
      <c r="J16" s="12"/>
    </row>
    <row r="17" spans="1:10" ht="15.75" customHeight="1" x14ac:dyDescent="0.3">
      <c r="A17" s="4" t="s">
        <v>27</v>
      </c>
      <c r="B17" s="5" t="s">
        <v>12</v>
      </c>
      <c r="C17" s="6">
        <v>550000</v>
      </c>
      <c r="D17" s="5">
        <v>10</v>
      </c>
      <c r="E17" s="5">
        <v>12</v>
      </c>
      <c r="F17" s="5">
        <v>0</v>
      </c>
      <c r="G17" s="5">
        <v>0</v>
      </c>
      <c r="H17" s="5">
        <v>21</v>
      </c>
      <c r="I17" s="5">
        <f t="shared" ref="I17:I19" si="6">(D17+E17-G17-H17-F17)</f>
        <v>1</v>
      </c>
      <c r="J17" s="6">
        <f t="shared" ref="J17:J19" si="7">I17*C17</f>
        <v>550000</v>
      </c>
    </row>
    <row r="18" spans="1:10" ht="15.75" customHeight="1" x14ac:dyDescent="0.3">
      <c r="A18" s="4" t="s">
        <v>28</v>
      </c>
      <c r="B18" s="5" t="s">
        <v>12</v>
      </c>
      <c r="C18" s="6">
        <v>650000</v>
      </c>
      <c r="D18" s="5">
        <v>8</v>
      </c>
      <c r="E18" s="5">
        <v>0</v>
      </c>
      <c r="F18" s="5">
        <v>0</v>
      </c>
      <c r="G18" s="5">
        <v>0</v>
      </c>
      <c r="H18" s="5">
        <v>8</v>
      </c>
      <c r="I18" s="5">
        <f t="shared" si="6"/>
        <v>0</v>
      </c>
      <c r="J18" s="6">
        <f t="shared" si="7"/>
        <v>0</v>
      </c>
    </row>
    <row r="19" spans="1:10" ht="15.75" customHeight="1" x14ac:dyDescent="0.3">
      <c r="A19" s="4" t="s">
        <v>29</v>
      </c>
      <c r="B19" s="5" t="s">
        <v>19</v>
      </c>
      <c r="C19" s="6">
        <v>320000</v>
      </c>
      <c r="D19" s="5">
        <v>14</v>
      </c>
      <c r="E19" s="5">
        <v>0</v>
      </c>
      <c r="F19" s="5">
        <v>0</v>
      </c>
      <c r="G19" s="5">
        <v>0</v>
      </c>
      <c r="H19" s="5">
        <v>11</v>
      </c>
      <c r="I19" s="5">
        <f t="shared" si="6"/>
        <v>3</v>
      </c>
      <c r="J19" s="6">
        <f t="shared" si="7"/>
        <v>960000</v>
      </c>
    </row>
    <row r="20" spans="1:10" ht="15.75" customHeight="1" x14ac:dyDescent="0.3">
      <c r="A20" s="8" t="s">
        <v>30</v>
      </c>
      <c r="B20" s="9"/>
      <c r="C20" s="10"/>
      <c r="D20" s="11"/>
      <c r="E20" s="11"/>
      <c r="F20" s="9"/>
      <c r="G20" s="12"/>
      <c r="H20" s="12"/>
      <c r="I20" s="12"/>
      <c r="J20" s="12"/>
    </row>
    <row r="21" spans="1:10" ht="15.75" customHeight="1" x14ac:dyDescent="0.3">
      <c r="A21" s="4" t="s">
        <v>31</v>
      </c>
      <c r="B21" s="5" t="s">
        <v>19</v>
      </c>
      <c r="C21" s="6">
        <v>600000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f t="shared" ref="I21:I22" si="8">(D21+E21-G21-H21-F21)</f>
        <v>0</v>
      </c>
      <c r="J21" s="6">
        <f t="shared" ref="J21:J22" si="9">I21*C21</f>
        <v>0</v>
      </c>
    </row>
    <row r="22" spans="1:10" ht="15.75" customHeight="1" x14ac:dyDescent="0.3">
      <c r="A22" s="4" t="s">
        <v>32</v>
      </c>
      <c r="B22" s="5" t="s">
        <v>19</v>
      </c>
      <c r="C22" s="6">
        <v>350000</v>
      </c>
      <c r="D22" s="5">
        <v>10</v>
      </c>
      <c r="E22" s="5">
        <v>0</v>
      </c>
      <c r="F22" s="5">
        <v>0</v>
      </c>
      <c r="G22" s="5">
        <v>0</v>
      </c>
      <c r="H22" s="5">
        <v>5</v>
      </c>
      <c r="I22" s="5">
        <f t="shared" si="8"/>
        <v>5</v>
      </c>
      <c r="J22" s="6">
        <f t="shared" si="9"/>
        <v>1750000</v>
      </c>
    </row>
    <row r="23" spans="1:10" ht="15.75" customHeight="1" x14ac:dyDescent="0.3">
      <c r="A23" s="8" t="s">
        <v>33</v>
      </c>
      <c r="B23" s="9">
        <v>0</v>
      </c>
      <c r="C23" s="10"/>
      <c r="D23" s="11"/>
      <c r="E23" s="11"/>
      <c r="F23" s="9"/>
      <c r="G23" s="12"/>
      <c r="H23" s="12"/>
      <c r="I23" s="12"/>
      <c r="J23" s="12"/>
    </row>
    <row r="24" spans="1:10" ht="15.75" customHeight="1" x14ac:dyDescent="0.3">
      <c r="A24" s="4" t="s">
        <v>34</v>
      </c>
      <c r="B24" s="5" t="s">
        <v>14</v>
      </c>
      <c r="C24" s="6">
        <v>210000</v>
      </c>
      <c r="D24" s="5">
        <v>13</v>
      </c>
      <c r="E24" s="5">
        <v>0</v>
      </c>
      <c r="F24" s="5">
        <v>0</v>
      </c>
      <c r="G24" s="5">
        <v>0</v>
      </c>
      <c r="H24" s="5">
        <v>0</v>
      </c>
      <c r="I24" s="5">
        <f t="shared" ref="I24:I25" si="10">(D24+E24-G24-H24-F24)</f>
        <v>13</v>
      </c>
      <c r="J24" s="6">
        <f t="shared" ref="J24:J25" si="11">I24*C24</f>
        <v>2730000</v>
      </c>
    </row>
    <row r="25" spans="1:10" ht="15.75" customHeight="1" x14ac:dyDescent="0.3">
      <c r="A25" s="4" t="s">
        <v>35</v>
      </c>
      <c r="B25" s="5" t="s">
        <v>36</v>
      </c>
      <c r="C25" s="6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f t="shared" si="10"/>
        <v>0</v>
      </c>
      <c r="J25" s="6">
        <f t="shared" si="11"/>
        <v>0</v>
      </c>
    </row>
    <row r="26" spans="1:10" ht="15.75" customHeight="1" x14ac:dyDescent="0.3">
      <c r="A26" s="8" t="s">
        <v>37</v>
      </c>
      <c r="B26" s="9"/>
      <c r="C26" s="10"/>
      <c r="D26" s="13"/>
      <c r="E26" s="14"/>
      <c r="F26" s="14"/>
      <c r="G26" s="15"/>
      <c r="H26" s="15"/>
      <c r="I26" s="12"/>
      <c r="J26" s="12"/>
    </row>
    <row r="27" spans="1:10" ht="15.75" customHeight="1" x14ac:dyDescent="0.3">
      <c r="A27" s="4" t="s">
        <v>38</v>
      </c>
      <c r="B27" s="5" t="s">
        <v>39</v>
      </c>
      <c r="C27" s="6">
        <v>20000</v>
      </c>
      <c r="D27" s="5">
        <v>210</v>
      </c>
      <c r="E27" s="5">
        <v>240</v>
      </c>
      <c r="F27" s="5">
        <v>0</v>
      </c>
      <c r="G27" s="5">
        <v>0</v>
      </c>
      <c r="H27" s="5">
        <f>240+153</f>
        <v>393</v>
      </c>
      <c r="I27" s="5">
        <f t="shared" ref="I27:I28" si="12">(D27+E27-G27-H27-F27)</f>
        <v>57</v>
      </c>
      <c r="J27" s="6">
        <f t="shared" ref="J27:J28" si="13">I27*C27</f>
        <v>1140000</v>
      </c>
    </row>
    <row r="28" spans="1:10" ht="15.6" x14ac:dyDescent="0.3">
      <c r="A28" s="4" t="s">
        <v>40</v>
      </c>
      <c r="B28" s="5" t="s">
        <v>41</v>
      </c>
      <c r="C28" s="6">
        <v>20000</v>
      </c>
      <c r="D28" s="5">
        <v>189</v>
      </c>
      <c r="E28" s="5">
        <v>240</v>
      </c>
      <c r="F28" s="5">
        <v>0</v>
      </c>
      <c r="G28" s="5">
        <v>0</v>
      </c>
      <c r="H28" s="5">
        <f>240+150</f>
        <v>390</v>
      </c>
      <c r="I28" s="5">
        <f t="shared" si="12"/>
        <v>39</v>
      </c>
      <c r="J28" s="6">
        <f t="shared" si="13"/>
        <v>780000</v>
      </c>
    </row>
    <row r="29" spans="1:10" ht="15.6" x14ac:dyDescent="0.3">
      <c r="A29" s="16" t="s">
        <v>42</v>
      </c>
      <c r="B29" s="9"/>
      <c r="C29" s="10"/>
      <c r="D29" s="11"/>
      <c r="E29" s="11"/>
      <c r="F29" s="9"/>
      <c r="G29" s="12"/>
      <c r="H29" s="12"/>
      <c r="I29" s="12"/>
      <c r="J29" s="12"/>
    </row>
    <row r="30" spans="1:10" ht="15.6" x14ac:dyDescent="0.3">
      <c r="A30" s="4" t="s">
        <v>43</v>
      </c>
      <c r="B30" s="5" t="s">
        <v>44</v>
      </c>
      <c r="C30" s="6">
        <v>15000</v>
      </c>
      <c r="D30" s="5">
        <v>48</v>
      </c>
      <c r="E30" s="5">
        <v>24</v>
      </c>
      <c r="F30" s="5">
        <v>0</v>
      </c>
      <c r="G30" s="5">
        <v>0</v>
      </c>
      <c r="H30" s="5">
        <f>15+24</f>
        <v>39</v>
      </c>
      <c r="I30" s="5">
        <f t="shared" ref="I30:I33" si="14">(D30+E30-G30-H30-F30)</f>
        <v>33</v>
      </c>
      <c r="J30" s="6">
        <f t="shared" ref="J30:J33" si="15">I30*C30</f>
        <v>495000</v>
      </c>
    </row>
    <row r="31" spans="1:10" ht="15.6" x14ac:dyDescent="0.3">
      <c r="A31" s="4" t="s">
        <v>45</v>
      </c>
      <c r="B31" s="5" t="s">
        <v>46</v>
      </c>
      <c r="C31" s="6">
        <v>15000</v>
      </c>
      <c r="D31" s="5">
        <v>24</v>
      </c>
      <c r="E31" s="5">
        <v>0</v>
      </c>
      <c r="F31" s="5">
        <v>0</v>
      </c>
      <c r="G31" s="5">
        <v>0</v>
      </c>
      <c r="H31" s="5">
        <v>15</v>
      </c>
      <c r="I31" s="5">
        <f t="shared" si="14"/>
        <v>9</v>
      </c>
      <c r="J31" s="6">
        <f t="shared" si="15"/>
        <v>135000</v>
      </c>
    </row>
    <row r="32" spans="1:10" ht="15.6" x14ac:dyDescent="0.3">
      <c r="A32" s="4" t="s">
        <v>47</v>
      </c>
      <c r="B32" s="5" t="s">
        <v>41</v>
      </c>
      <c r="C32" s="6">
        <v>15000</v>
      </c>
      <c r="D32" s="5">
        <v>70</v>
      </c>
      <c r="E32" s="5">
        <v>0</v>
      </c>
      <c r="F32" s="5">
        <v>0</v>
      </c>
      <c r="G32" s="5">
        <v>0</v>
      </c>
      <c r="H32" s="5">
        <v>62</v>
      </c>
      <c r="I32" s="5">
        <f t="shared" si="14"/>
        <v>8</v>
      </c>
      <c r="J32" s="6">
        <f t="shared" si="15"/>
        <v>120000</v>
      </c>
    </row>
    <row r="33" spans="1:10" ht="15.6" x14ac:dyDescent="0.3">
      <c r="A33" s="4" t="s">
        <v>48</v>
      </c>
      <c r="B33" s="5" t="s">
        <v>49</v>
      </c>
      <c r="C33" s="6">
        <v>15000</v>
      </c>
      <c r="D33" s="5">
        <v>28</v>
      </c>
      <c r="E33" s="5">
        <v>0</v>
      </c>
      <c r="F33" s="5">
        <v>0</v>
      </c>
      <c r="G33" s="5">
        <v>0</v>
      </c>
      <c r="H33" s="5">
        <v>17</v>
      </c>
      <c r="I33" s="5">
        <f t="shared" si="14"/>
        <v>11</v>
      </c>
      <c r="J33" s="6">
        <f t="shared" si="15"/>
        <v>165000</v>
      </c>
    </row>
    <row r="34" spans="1:10" ht="15.6" x14ac:dyDescent="0.3">
      <c r="A34" s="16" t="s">
        <v>50</v>
      </c>
      <c r="B34" s="9"/>
      <c r="C34" s="10"/>
      <c r="D34" s="11"/>
      <c r="E34" s="11"/>
      <c r="F34" s="9"/>
      <c r="G34" s="12"/>
      <c r="H34" s="12"/>
      <c r="I34" s="12"/>
      <c r="J34" s="12"/>
    </row>
    <row r="35" spans="1:10" ht="15.6" x14ac:dyDescent="0.3">
      <c r="A35" s="4" t="s">
        <v>51</v>
      </c>
      <c r="B35" s="5" t="s">
        <v>52</v>
      </c>
      <c r="C35" s="6">
        <v>15000</v>
      </c>
      <c r="D35" s="5">
        <v>207</v>
      </c>
      <c r="E35" s="5">
        <v>254</v>
      </c>
      <c r="F35" s="5">
        <v>0</v>
      </c>
      <c r="G35" s="5">
        <v>0</v>
      </c>
      <c r="H35" s="5">
        <f>254+87</f>
        <v>341</v>
      </c>
      <c r="I35" s="5">
        <f t="shared" ref="I35:I39" si="16">(D35+E35-G35-H35-F35)</f>
        <v>120</v>
      </c>
      <c r="J35" s="6">
        <f t="shared" ref="J35:J39" si="17">I35*C35</f>
        <v>1800000</v>
      </c>
    </row>
    <row r="36" spans="1:10" ht="15.6" x14ac:dyDescent="0.3">
      <c r="A36" s="4" t="s">
        <v>53</v>
      </c>
      <c r="B36" s="5" t="s">
        <v>52</v>
      </c>
      <c r="C36" s="6">
        <v>15000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f t="shared" si="16"/>
        <v>0</v>
      </c>
      <c r="J36" s="6">
        <f t="shared" si="17"/>
        <v>0</v>
      </c>
    </row>
    <row r="37" spans="1:10" ht="15.6" x14ac:dyDescent="0.3">
      <c r="A37" s="4" t="s">
        <v>75</v>
      </c>
      <c r="B37" s="5" t="s">
        <v>52</v>
      </c>
      <c r="C37" s="6">
        <v>30000</v>
      </c>
      <c r="D37" s="5">
        <v>77</v>
      </c>
      <c r="E37" s="5">
        <v>0</v>
      </c>
      <c r="F37" s="5">
        <v>0</v>
      </c>
      <c r="G37" s="5">
        <v>0</v>
      </c>
      <c r="H37" s="5">
        <v>58</v>
      </c>
      <c r="I37" s="5">
        <f t="shared" si="16"/>
        <v>19</v>
      </c>
      <c r="J37" s="6">
        <f t="shared" si="17"/>
        <v>570000</v>
      </c>
    </row>
    <row r="38" spans="1:10" ht="15.6" x14ac:dyDescent="0.3">
      <c r="A38" s="4" t="s">
        <v>54</v>
      </c>
      <c r="B38" s="5" t="s">
        <v>55</v>
      </c>
      <c r="C38" s="6">
        <v>15000</v>
      </c>
      <c r="D38" s="5">
        <v>110</v>
      </c>
      <c r="E38" s="5">
        <v>0</v>
      </c>
      <c r="F38" s="5">
        <v>0</v>
      </c>
      <c r="G38" s="5">
        <v>0</v>
      </c>
      <c r="H38" s="5">
        <v>39</v>
      </c>
      <c r="I38" s="5">
        <f t="shared" si="16"/>
        <v>71</v>
      </c>
      <c r="J38" s="6">
        <f t="shared" si="17"/>
        <v>1065000</v>
      </c>
    </row>
    <row r="39" spans="1:10" ht="15.6" x14ac:dyDescent="0.3">
      <c r="A39" s="4" t="s">
        <v>56</v>
      </c>
      <c r="B39" s="5" t="s">
        <v>46</v>
      </c>
      <c r="C39" s="6">
        <v>15000</v>
      </c>
      <c r="D39" s="5">
        <v>20</v>
      </c>
      <c r="E39" s="5">
        <v>0</v>
      </c>
      <c r="F39" s="5">
        <v>0</v>
      </c>
      <c r="G39" s="5">
        <v>0</v>
      </c>
      <c r="H39" s="5">
        <v>0</v>
      </c>
      <c r="I39" s="5">
        <f t="shared" si="16"/>
        <v>20</v>
      </c>
      <c r="J39" s="6">
        <f t="shared" si="17"/>
        <v>300000</v>
      </c>
    </row>
    <row r="40" spans="1:10" ht="15.6" x14ac:dyDescent="0.3">
      <c r="A40" s="16" t="s">
        <v>57</v>
      </c>
      <c r="B40" s="9"/>
      <c r="C40" s="10"/>
      <c r="D40" s="11"/>
      <c r="E40" s="11"/>
      <c r="F40" s="9"/>
      <c r="G40" s="12"/>
      <c r="H40" s="12"/>
      <c r="I40" s="12"/>
      <c r="J40" s="12"/>
    </row>
    <row r="41" spans="1:10" ht="15.6" x14ac:dyDescent="0.3">
      <c r="A41" s="4" t="s">
        <v>58</v>
      </c>
      <c r="B41" s="5" t="s">
        <v>59</v>
      </c>
      <c r="C41" s="6">
        <v>3000</v>
      </c>
      <c r="D41" s="5">
        <f>6*24+19</f>
        <v>163</v>
      </c>
      <c r="E41" s="5">
        <v>0</v>
      </c>
      <c r="F41" s="5">
        <v>0</v>
      </c>
      <c r="G41" s="5">
        <v>0</v>
      </c>
      <c r="H41" s="5">
        <v>123</v>
      </c>
      <c r="I41" s="5">
        <f t="shared" ref="I41:I43" si="18">(D41+E41-G41-H41-F41)</f>
        <v>40</v>
      </c>
      <c r="J41" s="6">
        <f t="shared" ref="J41:J43" si="19">I41*C41</f>
        <v>120000</v>
      </c>
    </row>
    <row r="42" spans="1:10" ht="15.6" x14ac:dyDescent="0.3">
      <c r="A42" s="4" t="s">
        <v>60</v>
      </c>
      <c r="B42" s="5" t="s">
        <v>61</v>
      </c>
      <c r="C42" s="6">
        <v>10000</v>
      </c>
      <c r="D42" s="5">
        <v>49</v>
      </c>
      <c r="E42" s="5">
        <v>0</v>
      </c>
      <c r="F42" s="5">
        <v>0</v>
      </c>
      <c r="G42" s="5">
        <v>0</v>
      </c>
      <c r="H42" s="5">
        <v>40</v>
      </c>
      <c r="I42" s="5">
        <f t="shared" si="18"/>
        <v>9</v>
      </c>
      <c r="J42" s="6">
        <f t="shared" si="19"/>
        <v>90000</v>
      </c>
    </row>
    <row r="43" spans="1:10" ht="15.6" x14ac:dyDescent="0.3">
      <c r="A43" s="4" t="s">
        <v>76</v>
      </c>
      <c r="B43" s="29" t="s">
        <v>77</v>
      </c>
      <c r="C43" s="6">
        <v>15000</v>
      </c>
      <c r="D43" s="5">
        <v>27</v>
      </c>
      <c r="E43" s="5">
        <v>0</v>
      </c>
      <c r="F43" s="5">
        <v>0</v>
      </c>
      <c r="G43" s="5">
        <v>0</v>
      </c>
      <c r="H43" s="5">
        <v>27</v>
      </c>
      <c r="I43" s="5">
        <f t="shared" si="18"/>
        <v>0</v>
      </c>
      <c r="J43" s="6">
        <f t="shared" si="19"/>
        <v>0</v>
      </c>
    </row>
    <row r="44" spans="1:10" ht="15.6" x14ac:dyDescent="0.3">
      <c r="A44" s="17" t="s">
        <v>62</v>
      </c>
      <c r="B44" s="12"/>
      <c r="C44" s="10"/>
      <c r="D44" s="12"/>
      <c r="E44" s="12"/>
      <c r="F44" s="12"/>
      <c r="G44" s="12"/>
      <c r="H44" s="12"/>
      <c r="I44" s="12"/>
      <c r="J44" s="12"/>
    </row>
    <row r="45" spans="1:10" ht="15.6" x14ac:dyDescent="0.3">
      <c r="A45" s="4" t="s">
        <v>63</v>
      </c>
      <c r="B45" s="5" t="s">
        <v>19</v>
      </c>
      <c r="C45" s="6">
        <v>50000</v>
      </c>
      <c r="D45" s="5">
        <v>0</v>
      </c>
      <c r="E45" s="5"/>
      <c r="F45" s="5">
        <v>0</v>
      </c>
      <c r="G45" s="5"/>
      <c r="H45" s="5">
        <v>0</v>
      </c>
      <c r="I45" s="5">
        <f>(D45+E45-G45-H45-F45)</f>
        <v>0</v>
      </c>
      <c r="J45" s="6">
        <f>(I45*C45)</f>
        <v>0</v>
      </c>
    </row>
    <row r="46" spans="1:10" ht="14.4" x14ac:dyDescent="0.3">
      <c r="A46" s="18"/>
      <c r="B46" s="18"/>
      <c r="C46" s="18"/>
      <c r="D46" s="18"/>
      <c r="E46" s="18"/>
      <c r="F46" s="18"/>
      <c r="G46" s="18"/>
      <c r="H46" s="18"/>
      <c r="I46" s="19" t="s">
        <v>64</v>
      </c>
      <c r="J46" s="20">
        <f>SUM(J2:J42)</f>
        <v>17040000</v>
      </c>
    </row>
    <row r="47" spans="1:10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21">
        <v>0</v>
      </c>
    </row>
    <row r="48" spans="1:10" ht="14.4" x14ac:dyDescent="0.3">
      <c r="A48" s="18"/>
      <c r="B48" s="18"/>
      <c r="C48" s="18"/>
      <c r="D48" s="18"/>
      <c r="E48" s="18"/>
      <c r="F48" s="18"/>
      <c r="G48" s="18"/>
      <c r="H48" s="18"/>
      <c r="I48" s="22" t="s">
        <v>65</v>
      </c>
      <c r="J48" s="23">
        <v>0</v>
      </c>
    </row>
    <row r="49" spans="1:10" ht="14.4" x14ac:dyDescent="0.3">
      <c r="A49" s="18"/>
      <c r="B49" s="18"/>
      <c r="C49" s="18"/>
      <c r="D49" s="18"/>
      <c r="E49" s="18"/>
      <c r="F49" s="18"/>
      <c r="G49" s="18"/>
      <c r="H49" s="18"/>
      <c r="I49" s="22" t="s">
        <v>66</v>
      </c>
      <c r="J49" s="24">
        <v>0</v>
      </c>
    </row>
    <row r="50" spans="1:10" ht="14.4" x14ac:dyDescent="0.3">
      <c r="A50" s="18"/>
      <c r="B50" s="18"/>
      <c r="C50" s="18"/>
      <c r="D50" s="18"/>
      <c r="E50" s="18"/>
      <c r="F50" s="18"/>
      <c r="G50" s="18"/>
      <c r="H50" s="18"/>
      <c r="I50" s="22" t="s">
        <v>67</v>
      </c>
      <c r="J50" s="24">
        <f>SUM(J48+J49)</f>
        <v>0</v>
      </c>
    </row>
    <row r="51" spans="1:10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25">
        <f>(J46-J50)</f>
        <v>17040000</v>
      </c>
    </row>
    <row r="52" spans="1:10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 ht="14.4" x14ac:dyDescent="0.3">
      <c r="A54" s="18"/>
      <c r="B54" s="18"/>
      <c r="C54" s="18"/>
      <c r="D54" s="18"/>
      <c r="E54" s="18"/>
      <c r="F54" s="18"/>
      <c r="G54" s="18"/>
      <c r="H54" s="18"/>
      <c r="I54" s="18">
        <v>4</v>
      </c>
      <c r="J54" s="18"/>
    </row>
    <row r="55" spans="1:10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77"/>
  <sheetViews>
    <sheetView tabSelected="1" topLeftCell="A35" zoomScale="70" zoomScaleNormal="70" workbookViewId="0">
      <selection activeCell="A2" sqref="A2:S58"/>
    </sheetView>
  </sheetViews>
  <sheetFormatPr baseColWidth="10" defaultColWidth="12.6640625" defaultRowHeight="15.75" customHeight="1" x14ac:dyDescent="0.25"/>
  <cols>
    <col min="1" max="1" width="30.88671875" customWidth="1"/>
    <col min="2" max="2" width="11.109375" customWidth="1"/>
    <col min="4" max="4" width="10.6640625" customWidth="1"/>
    <col min="5" max="5" width="10.33203125" customWidth="1"/>
    <col min="6" max="6" width="8.88671875" customWidth="1"/>
    <col min="7" max="8" width="11" customWidth="1"/>
    <col min="9" max="9" width="19.6640625" customWidth="1"/>
    <col min="10" max="10" width="15.5546875" bestFit="1" customWidth="1"/>
    <col min="13" max="13" width="14.44140625" bestFit="1" customWidth="1"/>
    <col min="15" max="15" width="14.44140625" bestFit="1" customWidth="1"/>
    <col min="19" max="19" width="14.44140625" bestFit="1" customWidth="1"/>
  </cols>
  <sheetData>
    <row r="1" spans="1:15" ht="15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15.75" customHeight="1" thickBot="1" x14ac:dyDescent="0.35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  <c r="L2" s="26"/>
      <c r="M2" s="72" t="s">
        <v>94</v>
      </c>
      <c r="N2" s="72"/>
      <c r="O2" s="73"/>
    </row>
    <row r="3" spans="1:15" ht="15.75" customHeight="1" x14ac:dyDescent="0.3">
      <c r="A3" s="4" t="s">
        <v>11</v>
      </c>
      <c r="B3" s="5" t="s">
        <v>12</v>
      </c>
      <c r="C3" s="6">
        <v>1200000</v>
      </c>
      <c r="D3" s="5">
        <v>2</v>
      </c>
      <c r="E3" s="5">
        <v>0</v>
      </c>
      <c r="F3" s="5">
        <v>0</v>
      </c>
      <c r="G3" s="5">
        <v>0</v>
      </c>
      <c r="H3" s="5">
        <v>2</v>
      </c>
      <c r="I3" s="5">
        <f>(D3+E3-G3-H3-F3)</f>
        <v>0</v>
      </c>
      <c r="J3" s="6">
        <f t="shared" ref="J3:J4" si="0">I3*C3</f>
        <v>0</v>
      </c>
      <c r="K3" s="76">
        <v>548100</v>
      </c>
      <c r="L3" s="97">
        <f>K3*I3</f>
        <v>0</v>
      </c>
      <c r="M3" s="92">
        <v>50</v>
      </c>
      <c r="N3" s="32">
        <v>0</v>
      </c>
      <c r="O3" s="33">
        <f>+M3*N3</f>
        <v>0</v>
      </c>
    </row>
    <row r="4" spans="1:15" ht="15.75" customHeight="1" x14ac:dyDescent="0.3">
      <c r="A4" s="4" t="s">
        <v>13</v>
      </c>
      <c r="B4" s="5" t="s">
        <v>14</v>
      </c>
      <c r="C4" s="6">
        <v>200000</v>
      </c>
      <c r="D4" s="5">
        <v>6</v>
      </c>
      <c r="E4" s="5">
        <v>0</v>
      </c>
      <c r="F4" s="5">
        <v>0</v>
      </c>
      <c r="G4" s="5">
        <v>0</v>
      </c>
      <c r="H4" s="5">
        <v>0</v>
      </c>
      <c r="I4" s="5">
        <f t="shared" ref="I4" si="1">(D4+E4-G4-H4-F4)</f>
        <v>6</v>
      </c>
      <c r="J4" s="6">
        <f t="shared" si="0"/>
        <v>1200000</v>
      </c>
      <c r="K4" s="76">
        <v>60200</v>
      </c>
      <c r="L4" s="97">
        <f t="shared" ref="L4:L44" si="2">K4*I4</f>
        <v>361200</v>
      </c>
      <c r="M4" s="93">
        <v>100</v>
      </c>
      <c r="N4" s="35">
        <v>0</v>
      </c>
      <c r="O4" s="36">
        <f t="shared" ref="O4:O13" si="3">+M4*N4</f>
        <v>0</v>
      </c>
    </row>
    <row r="5" spans="1:15" ht="15.75" customHeight="1" x14ac:dyDescent="0.3">
      <c r="A5" s="8" t="s">
        <v>15</v>
      </c>
      <c r="B5" s="9"/>
      <c r="C5" s="10"/>
      <c r="D5" s="11"/>
      <c r="E5" s="11"/>
      <c r="F5" s="9"/>
      <c r="G5" s="12"/>
      <c r="H5" s="12"/>
      <c r="I5" s="12"/>
      <c r="J5" s="12"/>
      <c r="K5" s="90"/>
      <c r="L5" s="97">
        <f t="shared" si="2"/>
        <v>0</v>
      </c>
      <c r="M5" s="93">
        <v>200</v>
      </c>
      <c r="N5" s="35">
        <v>5</v>
      </c>
      <c r="O5" s="36">
        <f t="shared" si="3"/>
        <v>1000</v>
      </c>
    </row>
    <row r="6" spans="1:15" ht="15.75" customHeight="1" x14ac:dyDescent="0.3">
      <c r="A6" s="4" t="s">
        <v>16</v>
      </c>
      <c r="B6" s="5" t="s">
        <v>17</v>
      </c>
      <c r="C6" s="6">
        <v>1000000</v>
      </c>
      <c r="D6" s="5">
        <v>4</v>
      </c>
      <c r="E6" s="5">
        <v>0</v>
      </c>
      <c r="F6" s="5">
        <v>1</v>
      </c>
      <c r="G6" s="5">
        <v>0</v>
      </c>
      <c r="H6" s="5">
        <v>3</v>
      </c>
      <c r="I6" s="5">
        <f t="shared" ref="I6:I9" si="4">(D6+E6-G6-H6-F6)</f>
        <v>0</v>
      </c>
      <c r="J6" s="6">
        <f t="shared" ref="J6:J9" si="5">I6*C6</f>
        <v>0</v>
      </c>
      <c r="K6" s="91">
        <v>396000</v>
      </c>
      <c r="L6" s="97">
        <v>396000</v>
      </c>
      <c r="M6" s="93">
        <v>500</v>
      </c>
      <c r="N6" s="35">
        <v>0</v>
      </c>
      <c r="O6" s="36">
        <f t="shared" si="3"/>
        <v>0</v>
      </c>
    </row>
    <row r="7" spans="1:15" ht="15.75" customHeight="1" x14ac:dyDescent="0.3">
      <c r="A7" s="4" t="s">
        <v>18</v>
      </c>
      <c r="B7" s="5" t="s">
        <v>19</v>
      </c>
      <c r="C7" s="6">
        <v>800000</v>
      </c>
      <c r="D7" s="5">
        <v>6</v>
      </c>
      <c r="E7" s="5">
        <v>0</v>
      </c>
      <c r="F7" s="5">
        <v>0</v>
      </c>
      <c r="G7" s="5">
        <v>0</v>
      </c>
      <c r="H7" s="5">
        <v>6</v>
      </c>
      <c r="I7" s="5">
        <f t="shared" si="4"/>
        <v>0</v>
      </c>
      <c r="J7" s="6">
        <f t="shared" si="5"/>
        <v>0</v>
      </c>
      <c r="K7" s="91">
        <v>263900</v>
      </c>
      <c r="L7" s="97">
        <f t="shared" si="2"/>
        <v>0</v>
      </c>
      <c r="M7" s="93">
        <v>1000</v>
      </c>
      <c r="N7" s="35">
        <v>0</v>
      </c>
      <c r="O7" s="36">
        <f t="shared" si="3"/>
        <v>0</v>
      </c>
    </row>
    <row r="8" spans="1:15" ht="15.75" customHeight="1" x14ac:dyDescent="0.3">
      <c r="A8" s="4" t="s">
        <v>20</v>
      </c>
      <c r="B8" s="5" t="s">
        <v>19</v>
      </c>
      <c r="C8" s="6">
        <v>750000</v>
      </c>
      <c r="D8" s="5">
        <v>5</v>
      </c>
      <c r="E8" s="5">
        <v>0</v>
      </c>
      <c r="F8" s="5">
        <v>1</v>
      </c>
      <c r="G8" s="5">
        <v>0</v>
      </c>
      <c r="H8" s="5">
        <v>4</v>
      </c>
      <c r="I8" s="5">
        <f t="shared" si="4"/>
        <v>0</v>
      </c>
      <c r="J8" s="6">
        <f t="shared" si="5"/>
        <v>0</v>
      </c>
      <c r="K8" s="91">
        <v>212700</v>
      </c>
      <c r="L8" s="97">
        <v>212700</v>
      </c>
      <c r="M8" s="93">
        <v>2000</v>
      </c>
      <c r="N8" s="35">
        <v>44</v>
      </c>
      <c r="O8" s="36">
        <f t="shared" si="3"/>
        <v>88000</v>
      </c>
    </row>
    <row r="9" spans="1:15" ht="15.75" customHeight="1" x14ac:dyDescent="0.3">
      <c r="A9" s="4" t="s">
        <v>74</v>
      </c>
      <c r="B9" s="5" t="s">
        <v>19</v>
      </c>
      <c r="C9" s="6">
        <v>1000000</v>
      </c>
      <c r="D9" s="5">
        <v>3</v>
      </c>
      <c r="E9" s="5">
        <v>0</v>
      </c>
      <c r="F9" s="5">
        <v>0</v>
      </c>
      <c r="G9" s="5">
        <v>0</v>
      </c>
      <c r="H9" s="5">
        <v>3</v>
      </c>
      <c r="I9" s="5">
        <f t="shared" si="4"/>
        <v>0</v>
      </c>
      <c r="J9" s="6">
        <f t="shared" si="5"/>
        <v>0</v>
      </c>
      <c r="K9" s="91"/>
      <c r="L9" s="97">
        <f t="shared" si="2"/>
        <v>0</v>
      </c>
      <c r="M9" s="93">
        <v>5000</v>
      </c>
      <c r="N9" s="35">
        <v>2</v>
      </c>
      <c r="O9" s="36">
        <f t="shared" si="3"/>
        <v>10000</v>
      </c>
    </row>
    <row r="10" spans="1:15" ht="15.75" customHeight="1" x14ac:dyDescent="0.3">
      <c r="A10" s="4" t="s">
        <v>73</v>
      </c>
      <c r="B10" s="5" t="s">
        <v>19</v>
      </c>
      <c r="C10" s="6">
        <v>800000</v>
      </c>
      <c r="D10" s="5">
        <v>3</v>
      </c>
      <c r="E10" s="5">
        <v>0</v>
      </c>
      <c r="F10" s="5">
        <v>0</v>
      </c>
      <c r="G10" s="5">
        <v>0</v>
      </c>
      <c r="H10" s="5">
        <v>3</v>
      </c>
      <c r="I10" s="5">
        <f t="shared" ref="I10:I11" si="6">(D10+E10-G10-H10-F10)</f>
        <v>0</v>
      </c>
      <c r="J10" s="6">
        <f t="shared" ref="J10:J11" si="7">I10*C10</f>
        <v>0</v>
      </c>
      <c r="K10" s="91"/>
      <c r="L10" s="97">
        <f t="shared" si="2"/>
        <v>0</v>
      </c>
      <c r="M10" s="93">
        <v>10000</v>
      </c>
      <c r="N10" s="35">
        <v>13</v>
      </c>
      <c r="O10" s="36">
        <f t="shared" si="3"/>
        <v>130000</v>
      </c>
    </row>
    <row r="11" spans="1:15" ht="15.75" customHeight="1" x14ac:dyDescent="0.3">
      <c r="A11" s="4" t="s">
        <v>21</v>
      </c>
      <c r="B11" s="5" t="s">
        <v>19</v>
      </c>
      <c r="C11" s="6">
        <v>300000</v>
      </c>
      <c r="D11" s="5">
        <v>4</v>
      </c>
      <c r="E11" s="5">
        <v>0</v>
      </c>
      <c r="F11" s="5">
        <v>0</v>
      </c>
      <c r="G11" s="5">
        <v>0</v>
      </c>
      <c r="H11" s="5">
        <v>4</v>
      </c>
      <c r="I11" s="5">
        <f t="shared" si="6"/>
        <v>0</v>
      </c>
      <c r="J11" s="6">
        <f t="shared" si="7"/>
        <v>0</v>
      </c>
      <c r="K11" s="91">
        <v>82300</v>
      </c>
      <c r="L11" s="97">
        <f t="shared" si="2"/>
        <v>0</v>
      </c>
      <c r="M11" s="93">
        <v>20000</v>
      </c>
      <c r="N11" s="35">
        <v>5</v>
      </c>
      <c r="O11" s="36">
        <f t="shared" si="3"/>
        <v>100000</v>
      </c>
    </row>
    <row r="12" spans="1:15" ht="15.75" customHeight="1" x14ac:dyDescent="0.3">
      <c r="A12" s="4" t="s">
        <v>22</v>
      </c>
      <c r="B12" s="5" t="s">
        <v>19</v>
      </c>
      <c r="C12" s="6">
        <v>300000</v>
      </c>
      <c r="D12" s="5">
        <v>8</v>
      </c>
      <c r="E12" s="5">
        <v>0</v>
      </c>
      <c r="F12" s="5">
        <v>0</v>
      </c>
      <c r="G12" s="5">
        <v>0</v>
      </c>
      <c r="H12" s="5">
        <v>8</v>
      </c>
      <c r="I12" s="5">
        <f t="shared" ref="I12" si="8">(D12+E12-G12-H12-F12)</f>
        <v>0</v>
      </c>
      <c r="J12" s="6">
        <f t="shared" ref="J12" si="9">I12*C12</f>
        <v>0</v>
      </c>
      <c r="K12" s="91">
        <v>82300</v>
      </c>
      <c r="L12" s="97">
        <f t="shared" si="2"/>
        <v>0</v>
      </c>
      <c r="M12" s="93">
        <v>50000</v>
      </c>
      <c r="N12" s="35">
        <v>64</v>
      </c>
      <c r="O12" s="36">
        <f t="shared" si="3"/>
        <v>3200000</v>
      </c>
    </row>
    <row r="13" spans="1:15" ht="15.75" customHeight="1" x14ac:dyDescent="0.3">
      <c r="A13" s="8" t="s">
        <v>23</v>
      </c>
      <c r="B13" s="9"/>
      <c r="C13" s="10"/>
      <c r="D13" s="11"/>
      <c r="E13" s="11"/>
      <c r="F13" s="9"/>
      <c r="G13" s="12"/>
      <c r="H13" s="12"/>
      <c r="I13" s="12"/>
      <c r="J13" s="12"/>
      <c r="K13" s="90"/>
      <c r="L13" s="97">
        <f t="shared" si="2"/>
        <v>0</v>
      </c>
      <c r="M13" s="93">
        <v>100000</v>
      </c>
      <c r="N13" s="35">
        <v>28</v>
      </c>
      <c r="O13" s="36">
        <f t="shared" si="3"/>
        <v>2800000</v>
      </c>
    </row>
    <row r="14" spans="1:15" ht="15.75" customHeight="1" thickBot="1" x14ac:dyDescent="0.35">
      <c r="A14" s="4" t="s">
        <v>24</v>
      </c>
      <c r="B14" s="5" t="s">
        <v>19</v>
      </c>
      <c r="C14" s="6">
        <v>400000</v>
      </c>
      <c r="D14" s="5">
        <v>3</v>
      </c>
      <c r="E14" s="5">
        <v>0</v>
      </c>
      <c r="F14" s="5">
        <v>0</v>
      </c>
      <c r="G14" s="5">
        <v>0</v>
      </c>
      <c r="H14" s="5">
        <v>3</v>
      </c>
      <c r="I14" s="5">
        <f t="shared" ref="I14:I17" si="10">(D14+E14-G14-H14-F14)</f>
        <v>0</v>
      </c>
      <c r="J14" s="6">
        <f t="shared" ref="J14:J17" si="11">I14*C14</f>
        <v>0</v>
      </c>
      <c r="K14" s="91">
        <v>70900</v>
      </c>
      <c r="L14" s="97">
        <f t="shared" si="2"/>
        <v>0</v>
      </c>
      <c r="M14" s="94" t="s">
        <v>64</v>
      </c>
      <c r="N14" s="70"/>
      <c r="O14" s="37">
        <f>SUM(O3:O13)</f>
        <v>6329000</v>
      </c>
    </row>
    <row r="15" spans="1:15" ht="15.75" customHeight="1" x14ac:dyDescent="0.3">
      <c r="A15" s="4" t="s">
        <v>24</v>
      </c>
      <c r="B15" s="5" t="s">
        <v>19</v>
      </c>
      <c r="C15" s="6">
        <v>220000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f t="shared" si="10"/>
        <v>1</v>
      </c>
      <c r="J15" s="6">
        <f t="shared" si="11"/>
        <v>220000</v>
      </c>
      <c r="K15" s="91">
        <v>70900</v>
      </c>
      <c r="L15" s="97">
        <f t="shared" si="2"/>
        <v>70900</v>
      </c>
      <c r="M15" s="38"/>
      <c r="N15" s="38"/>
      <c r="O15" s="39"/>
    </row>
    <row r="16" spans="1:15" ht="15.75" customHeight="1" x14ac:dyDescent="0.3">
      <c r="A16" s="40" t="s">
        <v>95</v>
      </c>
      <c r="B16" s="5" t="s">
        <v>19</v>
      </c>
      <c r="C16" s="6">
        <v>280000</v>
      </c>
      <c r="D16" s="5">
        <v>2</v>
      </c>
      <c r="E16" s="5">
        <v>0</v>
      </c>
      <c r="F16" s="5">
        <v>0</v>
      </c>
      <c r="G16" s="5">
        <v>0</v>
      </c>
      <c r="H16" s="5">
        <v>0</v>
      </c>
      <c r="I16" s="5">
        <f t="shared" si="10"/>
        <v>2</v>
      </c>
      <c r="J16" s="6">
        <f t="shared" si="11"/>
        <v>560000</v>
      </c>
      <c r="K16" s="91">
        <v>70900</v>
      </c>
      <c r="L16" s="97">
        <f t="shared" si="2"/>
        <v>141800</v>
      </c>
      <c r="M16" s="38"/>
      <c r="N16" s="38"/>
      <c r="O16" s="39"/>
    </row>
    <row r="17" spans="1:19" ht="15.75" customHeight="1" x14ac:dyDescent="0.3">
      <c r="A17" s="4" t="s">
        <v>25</v>
      </c>
      <c r="B17" s="5" t="s">
        <v>19</v>
      </c>
      <c r="C17" s="6">
        <v>320000</v>
      </c>
      <c r="D17" s="5">
        <v>9</v>
      </c>
      <c r="E17" s="5">
        <v>0</v>
      </c>
      <c r="F17" s="5">
        <v>0</v>
      </c>
      <c r="G17" s="5">
        <v>0</v>
      </c>
      <c r="H17" s="5">
        <v>8</v>
      </c>
      <c r="I17" s="5">
        <f t="shared" si="10"/>
        <v>1</v>
      </c>
      <c r="J17" s="6">
        <f t="shared" si="11"/>
        <v>320000</v>
      </c>
      <c r="K17" s="91"/>
      <c r="L17" s="97">
        <f t="shared" si="2"/>
        <v>0</v>
      </c>
    </row>
    <row r="18" spans="1:19" ht="15.75" customHeight="1" x14ac:dyDescent="0.3">
      <c r="A18" s="8" t="s">
        <v>26</v>
      </c>
      <c r="B18" s="9"/>
      <c r="C18" s="10"/>
      <c r="D18" s="11"/>
      <c r="E18" s="11"/>
      <c r="F18" s="9"/>
      <c r="G18" s="12"/>
      <c r="H18" s="12"/>
      <c r="I18" s="12"/>
      <c r="J18" s="12"/>
      <c r="K18" s="90"/>
      <c r="L18" s="97">
        <f t="shared" si="2"/>
        <v>0</v>
      </c>
      <c r="P18">
        <f>3100000/50000</f>
        <v>62</v>
      </c>
    </row>
    <row r="19" spans="1:19" ht="15.75" customHeight="1" x14ac:dyDescent="0.3">
      <c r="A19" s="4" t="s">
        <v>27</v>
      </c>
      <c r="B19" s="5" t="s">
        <v>12</v>
      </c>
      <c r="C19" s="6">
        <v>550000</v>
      </c>
      <c r="D19" s="5">
        <v>10</v>
      </c>
      <c r="E19" s="5">
        <v>0</v>
      </c>
      <c r="F19" s="5">
        <v>1</v>
      </c>
      <c r="G19" s="5">
        <v>0</v>
      </c>
      <c r="H19" s="5">
        <v>9</v>
      </c>
      <c r="I19" s="5">
        <f t="shared" ref="I19:I21" si="12">(D19+E19-G19-H19-F19)</f>
        <v>0</v>
      </c>
      <c r="J19" s="6">
        <f t="shared" ref="J19:J21" si="13">I19*C19</f>
        <v>0</v>
      </c>
      <c r="K19" s="91">
        <v>154200</v>
      </c>
      <c r="L19" s="97">
        <v>154200</v>
      </c>
      <c r="O19" s="27"/>
    </row>
    <row r="20" spans="1:19" ht="15.75" customHeight="1" x14ac:dyDescent="0.3">
      <c r="A20" s="4" t="s">
        <v>28</v>
      </c>
      <c r="B20" s="5" t="s">
        <v>12</v>
      </c>
      <c r="C20" s="6">
        <v>650000</v>
      </c>
      <c r="D20" s="5">
        <v>8</v>
      </c>
      <c r="E20" s="5">
        <v>0</v>
      </c>
      <c r="F20" s="5">
        <v>0</v>
      </c>
      <c r="G20" s="5">
        <v>0</v>
      </c>
      <c r="H20" s="5">
        <v>8</v>
      </c>
      <c r="I20" s="5">
        <f t="shared" si="12"/>
        <v>0</v>
      </c>
      <c r="J20" s="6">
        <f t="shared" si="13"/>
        <v>0</v>
      </c>
      <c r="K20" s="91">
        <v>179100</v>
      </c>
      <c r="L20" s="97">
        <f t="shared" si="2"/>
        <v>0</v>
      </c>
      <c r="M20" s="95" t="s">
        <v>121</v>
      </c>
      <c r="N20" s="26"/>
      <c r="O20" s="28"/>
      <c r="Q20" s="45" t="s">
        <v>127</v>
      </c>
      <c r="R20" s="28"/>
    </row>
    <row r="21" spans="1:19" ht="15.75" customHeight="1" x14ac:dyDescent="0.3">
      <c r="A21" s="4" t="s">
        <v>29</v>
      </c>
      <c r="B21" s="5" t="s">
        <v>19</v>
      </c>
      <c r="C21" s="6">
        <v>320000</v>
      </c>
      <c r="D21" s="5">
        <v>14</v>
      </c>
      <c r="E21" s="5">
        <v>0</v>
      </c>
      <c r="F21" s="5">
        <v>0</v>
      </c>
      <c r="G21" s="5">
        <v>0</v>
      </c>
      <c r="H21" s="5">
        <v>11</v>
      </c>
      <c r="I21" s="5">
        <f t="shared" si="12"/>
        <v>3</v>
      </c>
      <c r="J21" s="6">
        <f t="shared" si="13"/>
        <v>960000</v>
      </c>
      <c r="K21" s="91">
        <v>66500</v>
      </c>
      <c r="L21" s="97">
        <f t="shared" si="2"/>
        <v>199500</v>
      </c>
      <c r="M21" s="95" t="s">
        <v>69</v>
      </c>
      <c r="N21" s="26">
        <v>3</v>
      </c>
      <c r="O21" s="28">
        <f>15000*N21</f>
        <v>45000</v>
      </c>
      <c r="Q21" s="45" t="s">
        <v>126</v>
      </c>
      <c r="R21" s="28">
        <v>50000</v>
      </c>
    </row>
    <row r="22" spans="1:19" ht="15.75" customHeight="1" x14ac:dyDescent="0.3">
      <c r="A22" s="8" t="s">
        <v>30</v>
      </c>
      <c r="B22" s="9"/>
      <c r="C22" s="10"/>
      <c r="D22" s="11"/>
      <c r="E22" s="11"/>
      <c r="F22" s="9"/>
      <c r="G22" s="12"/>
      <c r="H22" s="12"/>
      <c r="I22" s="12"/>
      <c r="J22" s="12"/>
      <c r="K22" s="90"/>
      <c r="L22" s="97">
        <f t="shared" si="2"/>
        <v>0</v>
      </c>
      <c r="M22" s="95" t="s">
        <v>68</v>
      </c>
      <c r="N22" s="26">
        <v>14</v>
      </c>
      <c r="O22" s="28">
        <f>N22*15000</f>
        <v>210000</v>
      </c>
      <c r="Q22" s="45" t="s">
        <v>68</v>
      </c>
      <c r="R22" s="28">
        <v>15000</v>
      </c>
    </row>
    <row r="23" spans="1:19" ht="15.75" customHeight="1" x14ac:dyDescent="0.3">
      <c r="A23" s="4" t="s">
        <v>31</v>
      </c>
      <c r="B23" s="5" t="s">
        <v>19</v>
      </c>
      <c r="C23" s="6">
        <v>600000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f t="shared" ref="I23:I24" si="14">(D23+E23-G23-H23-F23)</f>
        <v>0</v>
      </c>
      <c r="J23" s="6">
        <f t="shared" ref="J23:J24" si="15">I23*C23</f>
        <v>0</v>
      </c>
      <c r="K23" s="91"/>
      <c r="L23" s="97">
        <f t="shared" si="2"/>
        <v>0</v>
      </c>
      <c r="M23" s="95" t="s">
        <v>72</v>
      </c>
      <c r="N23" s="26">
        <v>1</v>
      </c>
      <c r="O23" s="28">
        <v>15000</v>
      </c>
      <c r="R23" s="27">
        <f>SUM(R21:R22)</f>
        <v>65000</v>
      </c>
    </row>
    <row r="24" spans="1:19" ht="15.75" customHeight="1" x14ac:dyDescent="0.3">
      <c r="A24" s="4" t="s">
        <v>32</v>
      </c>
      <c r="B24" s="5" t="s">
        <v>19</v>
      </c>
      <c r="C24" s="6">
        <v>350000</v>
      </c>
      <c r="D24" s="5">
        <v>10</v>
      </c>
      <c r="E24" s="5">
        <v>0</v>
      </c>
      <c r="F24" s="5">
        <v>0</v>
      </c>
      <c r="G24" s="5">
        <v>0</v>
      </c>
      <c r="H24" s="5">
        <v>5</v>
      </c>
      <c r="I24" s="5">
        <f t="shared" si="14"/>
        <v>5</v>
      </c>
      <c r="J24" s="6">
        <f t="shared" si="15"/>
        <v>1750000</v>
      </c>
      <c r="K24" s="91">
        <v>86600</v>
      </c>
      <c r="L24" s="97">
        <f t="shared" si="2"/>
        <v>433000</v>
      </c>
      <c r="M24" s="95" t="s">
        <v>122</v>
      </c>
      <c r="N24" s="26">
        <v>1</v>
      </c>
      <c r="O24" s="28">
        <v>30000</v>
      </c>
      <c r="R24" s="27"/>
    </row>
    <row r="25" spans="1:19" ht="15.75" customHeight="1" x14ac:dyDescent="0.3">
      <c r="A25" s="8" t="s">
        <v>33</v>
      </c>
      <c r="B25" s="9"/>
      <c r="C25" s="10"/>
      <c r="D25" s="11"/>
      <c r="E25" s="11"/>
      <c r="F25" s="9"/>
      <c r="G25" s="12"/>
      <c r="H25" s="12"/>
      <c r="I25" s="12"/>
      <c r="J25" s="12"/>
      <c r="K25" s="90"/>
      <c r="L25" s="97">
        <f t="shared" si="2"/>
        <v>0</v>
      </c>
      <c r="M25" s="95" t="s">
        <v>123</v>
      </c>
      <c r="N25" s="26">
        <v>1</v>
      </c>
      <c r="O25" s="28">
        <v>10000</v>
      </c>
    </row>
    <row r="26" spans="1:19" ht="15.75" customHeight="1" x14ac:dyDescent="0.3">
      <c r="A26" s="4" t="s">
        <v>34</v>
      </c>
      <c r="B26" s="5" t="s">
        <v>14</v>
      </c>
      <c r="C26" s="6">
        <v>210000</v>
      </c>
      <c r="D26" s="5">
        <v>13</v>
      </c>
      <c r="E26" s="5">
        <v>0</v>
      </c>
      <c r="F26" s="5">
        <v>0</v>
      </c>
      <c r="G26" s="5">
        <v>0</v>
      </c>
      <c r="H26" s="5">
        <v>0</v>
      </c>
      <c r="I26" s="5">
        <f t="shared" ref="I26:I27" si="16">(D26+E26-G26-H26-F26)</f>
        <v>13</v>
      </c>
      <c r="J26" s="6">
        <f t="shared" ref="J26:J27" si="17">I26*C26</f>
        <v>2730000</v>
      </c>
      <c r="K26" s="91">
        <v>44600</v>
      </c>
      <c r="L26" s="97">
        <f t="shared" si="2"/>
        <v>579800</v>
      </c>
      <c r="O26" s="27">
        <f>SUM(O21:O25)</f>
        <v>310000</v>
      </c>
    </row>
    <row r="27" spans="1:19" ht="15.75" customHeight="1" x14ac:dyDescent="0.3">
      <c r="A27" s="4" t="s">
        <v>35</v>
      </c>
      <c r="B27" s="5" t="s">
        <v>36</v>
      </c>
      <c r="C27" s="6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f t="shared" si="16"/>
        <v>0</v>
      </c>
      <c r="J27" s="6">
        <f t="shared" si="17"/>
        <v>0</v>
      </c>
      <c r="K27" s="91"/>
      <c r="L27" s="97">
        <f t="shared" si="2"/>
        <v>0</v>
      </c>
      <c r="O27" s="27"/>
    </row>
    <row r="28" spans="1:19" ht="15.75" customHeight="1" x14ac:dyDescent="0.3">
      <c r="A28" s="8" t="s">
        <v>37</v>
      </c>
      <c r="B28" s="9"/>
      <c r="C28" s="10"/>
      <c r="D28" s="13"/>
      <c r="E28" s="14"/>
      <c r="F28" s="14"/>
      <c r="G28" s="15"/>
      <c r="H28" s="15"/>
      <c r="I28" s="12"/>
      <c r="J28" s="12"/>
      <c r="K28" s="90"/>
      <c r="L28" s="97">
        <f t="shared" si="2"/>
        <v>0</v>
      </c>
      <c r="O28" s="27"/>
      <c r="S28" s="27"/>
    </row>
    <row r="29" spans="1:19" ht="15.75" customHeight="1" x14ac:dyDescent="0.3">
      <c r="A29" s="4" t="s">
        <v>38</v>
      </c>
      <c r="B29" s="5" t="s">
        <v>39</v>
      </c>
      <c r="C29" s="6">
        <v>20000</v>
      </c>
      <c r="D29" s="5">
        <v>210</v>
      </c>
      <c r="E29" s="5">
        <v>0</v>
      </c>
      <c r="F29" s="5">
        <v>0</v>
      </c>
      <c r="G29" s="5">
        <v>0</v>
      </c>
      <c r="H29" s="5">
        <v>153</v>
      </c>
      <c r="I29" s="5">
        <f t="shared" ref="I29" si="18">(D29+E29-G29-H29-F29)</f>
        <v>57</v>
      </c>
      <c r="J29" s="6">
        <f t="shared" ref="J29:J30" si="19">I29*C29</f>
        <v>1140000</v>
      </c>
      <c r="K29" s="91">
        <v>3725</v>
      </c>
      <c r="L29" s="97">
        <f t="shared" si="2"/>
        <v>212325</v>
      </c>
      <c r="M29" s="95" t="s">
        <v>124</v>
      </c>
      <c r="N29" s="26"/>
      <c r="O29" s="28"/>
      <c r="Q29" s="45" t="s">
        <v>128</v>
      </c>
      <c r="R29" s="26"/>
      <c r="S29" s="28"/>
    </row>
    <row r="30" spans="1:19" ht="15.6" x14ac:dyDescent="0.3">
      <c r="A30" s="4" t="s">
        <v>40</v>
      </c>
      <c r="B30" s="5" t="s">
        <v>41</v>
      </c>
      <c r="C30" s="6">
        <v>20000</v>
      </c>
      <c r="D30" s="5">
        <v>189</v>
      </c>
      <c r="E30" s="5">
        <v>0</v>
      </c>
      <c r="F30" s="5">
        <v>15</v>
      </c>
      <c r="G30" s="5">
        <v>0</v>
      </c>
      <c r="H30" s="5">
        <v>150</v>
      </c>
      <c r="I30" s="5">
        <f>(D30+E30-G30-H30-F30)</f>
        <v>24</v>
      </c>
      <c r="J30" s="6">
        <f t="shared" si="19"/>
        <v>480000</v>
      </c>
      <c r="K30" s="91">
        <v>3462</v>
      </c>
      <c r="L30" s="97">
        <v>135018</v>
      </c>
      <c r="M30" s="95" t="s">
        <v>69</v>
      </c>
      <c r="N30" s="26">
        <v>6</v>
      </c>
      <c r="O30" s="28">
        <f>N30*15000</f>
        <v>90000</v>
      </c>
      <c r="Q30" s="45" t="s">
        <v>129</v>
      </c>
      <c r="R30" s="26">
        <v>1</v>
      </c>
      <c r="S30" s="28">
        <v>1000000</v>
      </c>
    </row>
    <row r="31" spans="1:19" ht="15.6" x14ac:dyDescent="0.3">
      <c r="A31" s="16" t="s">
        <v>42</v>
      </c>
      <c r="B31" s="9"/>
      <c r="C31" s="10"/>
      <c r="D31" s="11"/>
      <c r="E31" s="11"/>
      <c r="F31" s="9"/>
      <c r="G31" s="12"/>
      <c r="H31" s="12"/>
      <c r="I31" s="12"/>
      <c r="J31" s="12"/>
      <c r="K31" s="90"/>
      <c r="L31" s="97">
        <f t="shared" si="2"/>
        <v>0</v>
      </c>
      <c r="M31" s="95" t="s">
        <v>71</v>
      </c>
      <c r="N31" s="26">
        <v>5</v>
      </c>
      <c r="O31" s="28">
        <f>+N31*15000</f>
        <v>75000</v>
      </c>
      <c r="Q31" s="45" t="s">
        <v>68</v>
      </c>
      <c r="R31" s="26">
        <v>3</v>
      </c>
      <c r="S31" s="28">
        <v>45000</v>
      </c>
    </row>
    <row r="32" spans="1:19" ht="15.6" x14ac:dyDescent="0.3">
      <c r="A32" s="40" t="s">
        <v>116</v>
      </c>
      <c r="B32" s="5" t="s">
        <v>44</v>
      </c>
      <c r="C32" s="6">
        <v>15000</v>
      </c>
      <c r="D32" s="5">
        <v>36</v>
      </c>
      <c r="E32" s="5">
        <v>12</v>
      </c>
      <c r="F32" s="5">
        <v>9</v>
      </c>
      <c r="G32" s="5">
        <v>0</v>
      </c>
      <c r="H32" s="5">
        <v>15</v>
      </c>
      <c r="I32" s="5">
        <f t="shared" ref="I32:I35" si="20">(D32+E32-G32-H32-F32)</f>
        <v>24</v>
      </c>
      <c r="J32" s="6">
        <f t="shared" ref="J32:J35" si="21">I32*C32</f>
        <v>360000</v>
      </c>
      <c r="K32" s="91">
        <v>2308</v>
      </c>
      <c r="L32" s="97">
        <v>76164</v>
      </c>
      <c r="M32" s="95" t="s">
        <v>122</v>
      </c>
      <c r="N32" s="26">
        <v>1</v>
      </c>
      <c r="O32" s="28">
        <v>30000</v>
      </c>
      <c r="Q32" s="45" t="s">
        <v>72</v>
      </c>
      <c r="R32" s="26">
        <v>3</v>
      </c>
      <c r="S32" s="28">
        <v>45000</v>
      </c>
    </row>
    <row r="33" spans="1:19" ht="15.6" x14ac:dyDescent="0.3">
      <c r="A33" s="4" t="s">
        <v>45</v>
      </c>
      <c r="B33" s="5" t="s">
        <v>46</v>
      </c>
      <c r="C33" s="6">
        <v>15000</v>
      </c>
      <c r="D33" s="5">
        <v>24</v>
      </c>
      <c r="E33" s="5">
        <v>0</v>
      </c>
      <c r="F33" s="5">
        <v>0</v>
      </c>
      <c r="G33" s="5">
        <v>0</v>
      </c>
      <c r="H33" s="5">
        <v>15</v>
      </c>
      <c r="I33" s="5">
        <f t="shared" si="20"/>
        <v>9</v>
      </c>
      <c r="J33" s="6">
        <f t="shared" si="21"/>
        <v>135000</v>
      </c>
      <c r="K33" s="91">
        <v>2300</v>
      </c>
      <c r="L33" s="97">
        <f>K33*I33</f>
        <v>20700</v>
      </c>
      <c r="M33" s="95" t="s">
        <v>72</v>
      </c>
      <c r="N33" s="26">
        <v>2</v>
      </c>
      <c r="O33" s="28">
        <v>30000</v>
      </c>
      <c r="S33" s="27">
        <f>SUM(S30:S32)</f>
        <v>1090000</v>
      </c>
    </row>
    <row r="34" spans="1:19" ht="15.6" x14ac:dyDescent="0.3">
      <c r="A34" s="4" t="s">
        <v>47</v>
      </c>
      <c r="B34" s="5" t="s">
        <v>41</v>
      </c>
      <c r="C34" s="6">
        <v>15000</v>
      </c>
      <c r="D34" s="5">
        <v>70</v>
      </c>
      <c r="E34" s="5">
        <v>0</v>
      </c>
      <c r="F34" s="5">
        <v>0</v>
      </c>
      <c r="G34" s="5">
        <v>0</v>
      </c>
      <c r="H34" s="5">
        <v>62</v>
      </c>
      <c r="I34" s="5">
        <f t="shared" si="20"/>
        <v>8</v>
      </c>
      <c r="J34" s="6">
        <f t="shared" si="21"/>
        <v>120000</v>
      </c>
      <c r="K34" s="91">
        <v>2400</v>
      </c>
      <c r="L34" s="97">
        <f t="shared" si="2"/>
        <v>19200</v>
      </c>
      <c r="M34" s="95" t="s">
        <v>68</v>
      </c>
      <c r="N34" s="26">
        <v>1</v>
      </c>
      <c r="O34" s="28">
        <v>15000</v>
      </c>
      <c r="S34" s="27"/>
    </row>
    <row r="35" spans="1:19" ht="15.6" x14ac:dyDescent="0.3">
      <c r="A35" s="4" t="s">
        <v>48</v>
      </c>
      <c r="B35" s="5" t="s">
        <v>49</v>
      </c>
      <c r="C35" s="6">
        <v>15000</v>
      </c>
      <c r="D35" s="5">
        <v>28</v>
      </c>
      <c r="E35" s="5">
        <v>0</v>
      </c>
      <c r="F35" s="5">
        <v>6</v>
      </c>
      <c r="G35" s="5">
        <v>0</v>
      </c>
      <c r="H35" s="5">
        <v>17</v>
      </c>
      <c r="I35" s="5">
        <f t="shared" si="20"/>
        <v>5</v>
      </c>
      <c r="J35" s="6">
        <f t="shared" si="21"/>
        <v>75000</v>
      </c>
      <c r="K35" s="91">
        <v>1600</v>
      </c>
      <c r="L35" s="97">
        <f t="shared" si="2"/>
        <v>8000</v>
      </c>
      <c r="O35" s="27">
        <f>SUM(O30:O34)</f>
        <v>240000</v>
      </c>
      <c r="S35" s="27"/>
    </row>
    <row r="36" spans="1:19" ht="15.6" x14ac:dyDescent="0.3">
      <c r="A36" s="16" t="s">
        <v>50</v>
      </c>
      <c r="B36" s="9"/>
      <c r="C36" s="10"/>
      <c r="D36" s="11"/>
      <c r="E36" s="11"/>
      <c r="F36" s="9"/>
      <c r="G36" s="12"/>
      <c r="H36" s="12"/>
      <c r="I36" s="12"/>
      <c r="J36" s="12"/>
      <c r="K36" s="90"/>
      <c r="L36" s="97">
        <f t="shared" si="2"/>
        <v>0</v>
      </c>
      <c r="O36" s="27"/>
      <c r="S36" s="27"/>
    </row>
    <row r="37" spans="1:19" ht="15.6" x14ac:dyDescent="0.3">
      <c r="A37" s="4" t="s">
        <v>51</v>
      </c>
      <c r="B37" s="5" t="s">
        <v>52</v>
      </c>
      <c r="C37" s="6">
        <v>15000</v>
      </c>
      <c r="D37" s="5">
        <v>207</v>
      </c>
      <c r="E37" s="5">
        <v>0</v>
      </c>
      <c r="F37" s="5">
        <v>19</v>
      </c>
      <c r="G37" s="5">
        <v>0</v>
      </c>
      <c r="H37" s="5">
        <v>87</v>
      </c>
      <c r="I37" s="5">
        <f t="shared" ref="I37:I41" si="22">(D37+E37-G37-H37-F37)</f>
        <v>101</v>
      </c>
      <c r="J37" s="6">
        <f t="shared" ref="J37:J41" si="23">I37*C37</f>
        <v>1515000</v>
      </c>
      <c r="K37" s="91">
        <v>825</v>
      </c>
      <c r="L37" s="97">
        <v>99000</v>
      </c>
      <c r="O37" s="27"/>
      <c r="Q37" s="45" t="s">
        <v>130</v>
      </c>
      <c r="R37" s="26"/>
      <c r="S37" s="28"/>
    </row>
    <row r="38" spans="1:19" ht="15.6" x14ac:dyDescent="0.3">
      <c r="A38" s="4" t="s">
        <v>53</v>
      </c>
      <c r="B38" s="5" t="s">
        <v>52</v>
      </c>
      <c r="C38" s="6">
        <v>15000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f t="shared" si="22"/>
        <v>0</v>
      </c>
      <c r="J38" s="6">
        <f t="shared" si="23"/>
        <v>0</v>
      </c>
      <c r="K38" s="91"/>
      <c r="L38" s="97">
        <f t="shared" si="2"/>
        <v>0</v>
      </c>
      <c r="M38" s="95" t="s">
        <v>125</v>
      </c>
      <c r="N38" s="26"/>
      <c r="O38" s="28"/>
      <c r="Q38" s="45" t="s">
        <v>131</v>
      </c>
      <c r="R38" s="26">
        <v>1</v>
      </c>
      <c r="S38" s="28">
        <v>750000</v>
      </c>
    </row>
    <row r="39" spans="1:19" ht="15.6" x14ac:dyDescent="0.3">
      <c r="A39" s="4" t="s">
        <v>75</v>
      </c>
      <c r="B39" s="5" t="s">
        <v>52</v>
      </c>
      <c r="C39" s="6">
        <v>30000</v>
      </c>
      <c r="D39" s="5">
        <v>77</v>
      </c>
      <c r="E39" s="5">
        <v>0</v>
      </c>
      <c r="F39" s="5">
        <v>2</v>
      </c>
      <c r="G39" s="5">
        <v>0</v>
      </c>
      <c r="H39" s="5">
        <v>58</v>
      </c>
      <c r="I39" s="5">
        <f t="shared" si="22"/>
        <v>17</v>
      </c>
      <c r="J39" s="6">
        <f t="shared" si="23"/>
        <v>510000</v>
      </c>
      <c r="K39" s="91">
        <v>7350</v>
      </c>
      <c r="L39" s="97">
        <v>139650</v>
      </c>
      <c r="M39" s="95" t="s">
        <v>70</v>
      </c>
      <c r="N39" s="26">
        <v>8</v>
      </c>
      <c r="O39" s="54">
        <f>N39*20000</f>
        <v>160000</v>
      </c>
      <c r="S39" s="27">
        <f>SUM(S38)</f>
        <v>750000</v>
      </c>
    </row>
    <row r="40" spans="1:19" ht="15.6" x14ac:dyDescent="0.3">
      <c r="A40" s="4" t="s">
        <v>54</v>
      </c>
      <c r="B40" s="5" t="s">
        <v>55</v>
      </c>
      <c r="C40" s="6">
        <v>15000</v>
      </c>
      <c r="D40" s="5">
        <v>110</v>
      </c>
      <c r="E40" s="5">
        <v>0</v>
      </c>
      <c r="F40" s="5">
        <v>13</v>
      </c>
      <c r="G40" s="5">
        <v>4</v>
      </c>
      <c r="H40" s="5">
        <v>39</v>
      </c>
      <c r="I40" s="5">
        <f t="shared" si="22"/>
        <v>54</v>
      </c>
      <c r="J40" s="6">
        <f t="shared" si="23"/>
        <v>810000</v>
      </c>
      <c r="K40" s="91">
        <v>6700</v>
      </c>
      <c r="L40" s="97">
        <v>475700</v>
      </c>
      <c r="M40" s="95" t="s">
        <v>126</v>
      </c>
      <c r="N40" s="26">
        <v>1</v>
      </c>
      <c r="O40" s="54">
        <v>50000</v>
      </c>
      <c r="S40" s="27"/>
    </row>
    <row r="41" spans="1:19" ht="15.6" x14ac:dyDescent="0.3">
      <c r="A41" s="4" t="s">
        <v>56</v>
      </c>
      <c r="B41" s="5" t="s">
        <v>46</v>
      </c>
      <c r="C41" s="6">
        <v>15000</v>
      </c>
      <c r="D41" s="5">
        <v>20</v>
      </c>
      <c r="E41" s="5">
        <v>0</v>
      </c>
      <c r="F41" s="5">
        <v>5</v>
      </c>
      <c r="G41" s="5">
        <v>0</v>
      </c>
      <c r="H41" s="5">
        <v>0</v>
      </c>
      <c r="I41" s="5">
        <f t="shared" si="22"/>
        <v>15</v>
      </c>
      <c r="J41" s="6">
        <f t="shared" si="23"/>
        <v>225000</v>
      </c>
      <c r="K41" s="91">
        <v>2400</v>
      </c>
      <c r="L41" s="97">
        <v>48000</v>
      </c>
      <c r="M41" s="96" t="s">
        <v>78</v>
      </c>
      <c r="N41" s="26">
        <v>1</v>
      </c>
      <c r="O41" s="54">
        <v>550000</v>
      </c>
      <c r="Q41" s="45" t="s">
        <v>132</v>
      </c>
      <c r="R41" s="26"/>
      <c r="S41" s="28"/>
    </row>
    <row r="42" spans="1:19" ht="15.6" x14ac:dyDescent="0.3">
      <c r="A42" s="16" t="s">
        <v>57</v>
      </c>
      <c r="B42" s="9"/>
      <c r="C42" s="10"/>
      <c r="D42" s="11"/>
      <c r="E42" s="11"/>
      <c r="F42" s="9"/>
      <c r="G42" s="12"/>
      <c r="H42" s="12"/>
      <c r="I42" s="12"/>
      <c r="J42" s="12"/>
      <c r="K42" s="90"/>
      <c r="L42" s="97">
        <f t="shared" si="2"/>
        <v>0</v>
      </c>
      <c r="M42" s="96" t="s">
        <v>79</v>
      </c>
      <c r="N42" s="26">
        <v>2</v>
      </c>
      <c r="O42" s="54">
        <v>30000</v>
      </c>
      <c r="Q42" s="46" t="s">
        <v>133</v>
      </c>
      <c r="R42" s="26">
        <v>1</v>
      </c>
      <c r="S42" s="28">
        <v>20000</v>
      </c>
    </row>
    <row r="43" spans="1:19" ht="15.6" x14ac:dyDescent="0.3">
      <c r="A43" s="4" t="s">
        <v>58</v>
      </c>
      <c r="B43" s="5" t="s">
        <v>59</v>
      </c>
      <c r="C43" s="6">
        <v>3000</v>
      </c>
      <c r="D43" s="5">
        <f>6*24+19</f>
        <v>163</v>
      </c>
      <c r="E43" s="5">
        <v>0</v>
      </c>
      <c r="F43" s="5">
        <v>0</v>
      </c>
      <c r="G43" s="5">
        <v>0</v>
      </c>
      <c r="H43" s="5">
        <v>123</v>
      </c>
      <c r="I43" s="5">
        <f t="shared" ref="I43:I45" si="24">(D43+E43-G43-H43-F43)</f>
        <v>40</v>
      </c>
      <c r="J43" s="6">
        <f t="shared" ref="J43:J45" si="25">I43*C43</f>
        <v>120000</v>
      </c>
      <c r="K43" s="91">
        <v>408</v>
      </c>
      <c r="L43" s="97">
        <f t="shared" si="2"/>
        <v>16320</v>
      </c>
      <c r="M43" s="96" t="s">
        <v>136</v>
      </c>
      <c r="N43" s="26">
        <v>2</v>
      </c>
      <c r="O43" s="64">
        <v>30000</v>
      </c>
      <c r="S43" s="27">
        <f>SUM(S42)</f>
        <v>20000</v>
      </c>
    </row>
    <row r="44" spans="1:19" ht="15.6" x14ac:dyDescent="0.3">
      <c r="A44" s="4" t="s">
        <v>60</v>
      </c>
      <c r="B44" s="5" t="s">
        <v>61</v>
      </c>
      <c r="C44" s="6">
        <v>10000</v>
      </c>
      <c r="D44" s="5">
        <v>49</v>
      </c>
      <c r="E44" s="5">
        <v>0</v>
      </c>
      <c r="F44" s="5">
        <v>1</v>
      </c>
      <c r="G44" s="5">
        <v>0</v>
      </c>
      <c r="H44" s="5">
        <v>40</v>
      </c>
      <c r="I44" s="5">
        <f t="shared" si="24"/>
        <v>8</v>
      </c>
      <c r="J44" s="6">
        <f t="shared" si="25"/>
        <v>80000</v>
      </c>
      <c r="K44" s="91">
        <v>1361</v>
      </c>
      <c r="L44" s="97">
        <v>12000</v>
      </c>
      <c r="M44" s="96" t="s">
        <v>80</v>
      </c>
      <c r="N44" s="26">
        <v>1</v>
      </c>
      <c r="O44" s="64">
        <v>35000</v>
      </c>
      <c r="S44" s="27"/>
    </row>
    <row r="45" spans="1:19" ht="15.6" x14ac:dyDescent="0.3">
      <c r="A45" s="4" t="s">
        <v>76</v>
      </c>
      <c r="B45" s="29" t="s">
        <v>77</v>
      </c>
      <c r="C45" s="6">
        <v>15000</v>
      </c>
      <c r="D45" s="5">
        <v>27</v>
      </c>
      <c r="E45" s="5">
        <v>0</v>
      </c>
      <c r="F45" s="5">
        <v>0</v>
      </c>
      <c r="G45" s="5">
        <v>0</v>
      </c>
      <c r="H45" s="5">
        <v>27</v>
      </c>
      <c r="I45" s="5">
        <f t="shared" si="24"/>
        <v>0</v>
      </c>
      <c r="J45" s="6">
        <f t="shared" si="25"/>
        <v>0</v>
      </c>
      <c r="K45" s="6"/>
      <c r="O45" s="56">
        <f>SUM(O39:O44)</f>
        <v>855000</v>
      </c>
      <c r="S45" s="27"/>
    </row>
    <row r="46" spans="1:19" ht="15.6" x14ac:dyDescent="0.3">
      <c r="A46" s="17" t="s">
        <v>62</v>
      </c>
      <c r="B46" s="12"/>
      <c r="C46" s="10"/>
      <c r="D46" s="12"/>
      <c r="E46" s="12"/>
      <c r="F46" s="12"/>
      <c r="G46" s="12"/>
      <c r="H46" s="12"/>
      <c r="I46" s="12"/>
      <c r="J46" s="12"/>
      <c r="L46" s="56">
        <f>SUM(L3:L45)</f>
        <v>3811177</v>
      </c>
      <c r="O46" s="30"/>
    </row>
    <row r="47" spans="1:19" ht="15.6" x14ac:dyDescent="0.3">
      <c r="A47" s="40" t="s">
        <v>97</v>
      </c>
      <c r="B47" s="5" t="s">
        <v>19</v>
      </c>
      <c r="C47" s="6">
        <v>50000</v>
      </c>
      <c r="D47" s="5">
        <v>2</v>
      </c>
      <c r="E47" s="5">
        <v>12</v>
      </c>
      <c r="F47" s="5">
        <v>2</v>
      </c>
      <c r="G47" s="5">
        <v>0</v>
      </c>
      <c r="H47" s="5">
        <v>4</v>
      </c>
      <c r="I47" s="5">
        <f>(D47+E47-G47-H47-F47)</f>
        <v>8</v>
      </c>
      <c r="J47" s="6">
        <f>(I47*C47)</f>
        <v>400000</v>
      </c>
      <c r="O47" s="56"/>
    </row>
    <row r="48" spans="1:19" ht="15.6" x14ac:dyDescent="0.3">
      <c r="A48" s="40" t="s">
        <v>96</v>
      </c>
      <c r="B48" s="5" t="s">
        <v>19</v>
      </c>
      <c r="C48" s="6">
        <v>50000</v>
      </c>
      <c r="D48" s="5">
        <v>10</v>
      </c>
      <c r="E48" s="5">
        <v>0</v>
      </c>
      <c r="F48" s="5">
        <v>0</v>
      </c>
      <c r="G48" s="5">
        <v>0</v>
      </c>
      <c r="H48" s="5">
        <v>3</v>
      </c>
      <c r="I48" s="5">
        <f>(D48+E48-G48-H48-F48)</f>
        <v>7</v>
      </c>
      <c r="J48" s="6">
        <f>(I48*C48)</f>
        <v>350000</v>
      </c>
    </row>
    <row r="49" spans="1:21" ht="15.6" x14ac:dyDescent="0.3">
      <c r="A49" s="40" t="s">
        <v>102</v>
      </c>
      <c r="B49" s="5" t="s">
        <v>19</v>
      </c>
      <c r="C49" s="6">
        <v>35000</v>
      </c>
      <c r="D49" s="5">
        <v>12</v>
      </c>
      <c r="E49" s="5">
        <v>0</v>
      </c>
      <c r="F49" s="5">
        <v>1</v>
      </c>
      <c r="G49" s="5">
        <v>0</v>
      </c>
      <c r="H49" s="5">
        <v>10</v>
      </c>
      <c r="I49" s="5">
        <f>(D49+E49-G49-H49-F49)</f>
        <v>1</v>
      </c>
      <c r="J49" s="6">
        <f>(I49*C49)</f>
        <v>35000</v>
      </c>
      <c r="Q49">
        <f>I30+F30</f>
        <v>39</v>
      </c>
      <c r="R49" s="60">
        <f>Q49*K30</f>
        <v>135018</v>
      </c>
    </row>
    <row r="50" spans="1:21" ht="15.6" x14ac:dyDescent="0.3">
      <c r="A50" s="40" t="s">
        <v>118</v>
      </c>
      <c r="B50" s="5" t="s">
        <v>19</v>
      </c>
      <c r="C50" s="6">
        <v>35000</v>
      </c>
      <c r="D50" s="5">
        <v>9</v>
      </c>
      <c r="E50" s="5">
        <v>0</v>
      </c>
      <c r="F50" s="5">
        <v>0</v>
      </c>
      <c r="G50" s="5">
        <v>0</v>
      </c>
      <c r="H50" s="5">
        <v>7</v>
      </c>
      <c r="I50" s="41">
        <f>(D50+E50-G50-H50-F50)</f>
        <v>2</v>
      </c>
      <c r="J50" s="6">
        <f>(I50*C50)</f>
        <v>70000</v>
      </c>
      <c r="N50">
        <f>I40+F40+G40</f>
        <v>71</v>
      </c>
      <c r="O50" s="60">
        <f>N50*K40</f>
        <v>475700</v>
      </c>
    </row>
    <row r="51" spans="1:21" ht="14.4" x14ac:dyDescent="0.3">
      <c r="A51" s="18"/>
      <c r="B51" s="18"/>
      <c r="C51" s="18"/>
      <c r="D51" s="18"/>
      <c r="E51" s="18"/>
      <c r="F51" s="18"/>
      <c r="G51" s="18"/>
      <c r="H51" s="18"/>
      <c r="I51" s="42" t="s">
        <v>64</v>
      </c>
      <c r="J51" s="43">
        <f>SUM(J2:J50)</f>
        <v>14165000</v>
      </c>
      <c r="T51">
        <v>18</v>
      </c>
      <c r="U51">
        <v>19</v>
      </c>
    </row>
    <row r="52" spans="1:21" ht="14.4" x14ac:dyDescent="0.3">
      <c r="A52" s="18"/>
      <c r="B52" s="18"/>
      <c r="C52" s="18"/>
      <c r="D52" s="18"/>
      <c r="E52" s="18"/>
      <c r="F52" s="18"/>
      <c r="G52" s="18"/>
      <c r="H52" s="18"/>
      <c r="I52" s="44" t="s">
        <v>98</v>
      </c>
      <c r="J52" s="65">
        <f>+M57</f>
        <v>5244700</v>
      </c>
      <c r="L52" s="74" t="s">
        <v>113</v>
      </c>
      <c r="M52" s="74"/>
      <c r="R52" t="s">
        <v>144</v>
      </c>
      <c r="S52">
        <v>8328</v>
      </c>
      <c r="T52" s="27">
        <v>790000</v>
      </c>
      <c r="U52" s="27">
        <v>475000</v>
      </c>
    </row>
    <row r="53" spans="1:21" ht="14.4" x14ac:dyDescent="0.3">
      <c r="A53" s="18"/>
      <c r="B53" s="18"/>
      <c r="C53" s="18"/>
      <c r="D53" s="18"/>
      <c r="E53" s="18"/>
      <c r="F53" s="18"/>
      <c r="G53" s="18"/>
      <c r="H53" s="18"/>
      <c r="I53" s="44" t="s">
        <v>99</v>
      </c>
      <c r="J53" s="66">
        <f>+NOMINA!F22</f>
        <v>2535000</v>
      </c>
      <c r="L53" s="45" t="s">
        <v>110</v>
      </c>
      <c r="M53" s="54">
        <f>790000+475000</f>
        <v>1265000</v>
      </c>
      <c r="R53" t="s">
        <v>145</v>
      </c>
      <c r="S53">
        <v>6003</v>
      </c>
      <c r="T53" s="27">
        <v>470000</v>
      </c>
      <c r="U53" s="27">
        <v>1091000</v>
      </c>
    </row>
    <row r="54" spans="1:21" ht="14.4" x14ac:dyDescent="0.3">
      <c r="A54" s="18"/>
      <c r="B54" s="18"/>
      <c r="C54" s="18"/>
      <c r="D54" s="18"/>
      <c r="E54" s="18"/>
      <c r="F54" s="18"/>
      <c r="G54" s="18"/>
      <c r="H54" s="18"/>
      <c r="I54" s="44" t="s">
        <v>100</v>
      </c>
      <c r="J54" s="66">
        <f>+NOMINA!C27</f>
        <v>59000</v>
      </c>
      <c r="L54" s="45" t="s">
        <v>111</v>
      </c>
      <c r="M54" s="54">
        <f>1005700+235000</f>
        <v>1240700</v>
      </c>
      <c r="O54" s="60"/>
      <c r="R54" t="s">
        <v>146</v>
      </c>
      <c r="S54">
        <v>2083</v>
      </c>
      <c r="T54" s="27">
        <v>1005700</v>
      </c>
      <c r="U54" s="27">
        <v>235000</v>
      </c>
    </row>
    <row r="55" spans="1:21" ht="14.4" x14ac:dyDescent="0.3">
      <c r="A55" s="18"/>
      <c r="B55" s="18"/>
      <c r="C55" s="18"/>
      <c r="D55" s="18"/>
      <c r="E55" s="18"/>
      <c r="F55" s="18"/>
      <c r="G55" s="18"/>
      <c r="H55" s="18"/>
      <c r="I55" s="44" t="s">
        <v>64</v>
      </c>
      <c r="J55" s="67">
        <f>+J51-J52-J53-J54</f>
        <v>6326300</v>
      </c>
      <c r="L55" s="45" t="s">
        <v>112</v>
      </c>
      <c r="M55" s="54">
        <f>470000+1091000</f>
        <v>1561000</v>
      </c>
      <c r="O55" s="27"/>
      <c r="R55" t="s">
        <v>147</v>
      </c>
      <c r="T55" s="27">
        <v>812000</v>
      </c>
      <c r="U55" s="27">
        <v>366000</v>
      </c>
    </row>
    <row r="56" spans="1:21" ht="14.4" x14ac:dyDescent="0.3">
      <c r="A56" s="18"/>
      <c r="B56" s="18"/>
      <c r="C56" s="18"/>
      <c r="D56" s="18"/>
      <c r="E56" s="18"/>
      <c r="F56" s="18"/>
      <c r="G56" s="18"/>
      <c r="H56" s="18"/>
      <c r="I56" s="44" t="s">
        <v>94</v>
      </c>
      <c r="J56" s="67">
        <f>+O14</f>
        <v>6329000</v>
      </c>
      <c r="L56" s="46" t="s">
        <v>114</v>
      </c>
      <c r="M56" s="28">
        <f>812000+366000</f>
        <v>1178000</v>
      </c>
      <c r="O56" s="60"/>
    </row>
    <row r="57" spans="1:21" ht="14.4" x14ac:dyDescent="0.3">
      <c r="A57" s="18"/>
      <c r="B57" s="18"/>
      <c r="C57" s="18"/>
      <c r="D57" s="18"/>
      <c r="E57" s="18"/>
      <c r="F57" s="18"/>
      <c r="G57" s="18"/>
      <c r="H57" s="18"/>
      <c r="I57" s="44" t="s">
        <v>101</v>
      </c>
      <c r="J57" s="68">
        <f>+J56-J55</f>
        <v>2700</v>
      </c>
      <c r="L57" s="48" t="s">
        <v>115</v>
      </c>
      <c r="M57" s="59">
        <f>SUM(M53:M56)</f>
        <v>5244700</v>
      </c>
    </row>
    <row r="58" spans="1:21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L58" s="57"/>
      <c r="M58" s="58"/>
    </row>
    <row r="59" spans="1:21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M59" s="56"/>
    </row>
    <row r="60" spans="1:21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21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21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61"/>
    </row>
    <row r="63" spans="1:21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62"/>
    </row>
    <row r="64" spans="1:21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 ht="13.2" x14ac:dyDescent="0.25"/>
  </sheetData>
  <mergeCells count="3">
    <mergeCell ref="M14:N14"/>
    <mergeCell ref="M2:O2"/>
    <mergeCell ref="L52:M52"/>
  </mergeCells>
  <phoneticPr fontId="16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AF93-F569-475A-A02D-483DBC1612E2}">
  <dimension ref="B11:I27"/>
  <sheetViews>
    <sheetView topLeftCell="A3" workbookViewId="0">
      <selection activeCell="B15" sqref="B15"/>
    </sheetView>
  </sheetViews>
  <sheetFormatPr baseColWidth="10" defaultRowHeight="13.2" x14ac:dyDescent="0.25"/>
  <cols>
    <col min="2" max="2" width="40.44140625" customWidth="1"/>
    <col min="3" max="3" width="11.88671875" bestFit="1" customWidth="1"/>
    <col min="6" max="6" width="14.88671875" customWidth="1"/>
  </cols>
  <sheetData>
    <row r="11" spans="2:9" x14ac:dyDescent="0.25">
      <c r="B11" s="74" t="s">
        <v>108</v>
      </c>
      <c r="C11" s="74"/>
      <c r="D11" s="74"/>
      <c r="E11" s="74"/>
      <c r="F11" s="74"/>
    </row>
    <row r="12" spans="2:9" x14ac:dyDescent="0.25">
      <c r="B12" s="26" t="s">
        <v>82</v>
      </c>
      <c r="C12" s="26" t="s">
        <v>87</v>
      </c>
      <c r="D12" s="53">
        <v>1</v>
      </c>
      <c r="E12" s="55">
        <v>500000</v>
      </c>
      <c r="F12" s="55">
        <f>+E12*D12</f>
        <v>500000</v>
      </c>
    </row>
    <row r="13" spans="2:9" x14ac:dyDescent="0.25">
      <c r="B13" s="26" t="s">
        <v>83</v>
      </c>
      <c r="C13" s="26" t="s">
        <v>88</v>
      </c>
      <c r="D13" s="53">
        <v>1</v>
      </c>
      <c r="E13" s="55">
        <v>200000</v>
      </c>
      <c r="F13" s="55">
        <f t="shared" ref="F13:F21" si="0">+E13*D13</f>
        <v>200000</v>
      </c>
    </row>
    <row r="14" spans="2:9" x14ac:dyDescent="0.25">
      <c r="B14" s="26" t="s">
        <v>143</v>
      </c>
      <c r="C14" s="26" t="s">
        <v>89</v>
      </c>
      <c r="D14" s="53">
        <v>1</v>
      </c>
      <c r="E14" s="55">
        <v>100000</v>
      </c>
      <c r="F14" s="55">
        <f t="shared" si="0"/>
        <v>100000</v>
      </c>
    </row>
    <row r="15" spans="2:9" x14ac:dyDescent="0.25">
      <c r="B15" s="26" t="s">
        <v>84</v>
      </c>
      <c r="C15" s="26" t="s">
        <v>90</v>
      </c>
      <c r="D15" s="53">
        <v>1</v>
      </c>
      <c r="E15" s="55">
        <v>150000</v>
      </c>
      <c r="F15" s="55">
        <f t="shared" si="0"/>
        <v>150000</v>
      </c>
    </row>
    <row r="16" spans="2:9" x14ac:dyDescent="0.25">
      <c r="B16" s="26" t="s">
        <v>85</v>
      </c>
      <c r="C16" s="26" t="s">
        <v>91</v>
      </c>
      <c r="D16" s="53">
        <v>1</v>
      </c>
      <c r="E16" s="55">
        <v>100000</v>
      </c>
      <c r="F16" s="55">
        <f t="shared" si="0"/>
        <v>100000</v>
      </c>
      <c r="I16">
        <f>32+27</f>
        <v>59</v>
      </c>
    </row>
    <row r="17" spans="2:6" x14ac:dyDescent="0.25">
      <c r="B17" s="26" t="s">
        <v>86</v>
      </c>
      <c r="C17" s="26" t="s">
        <v>91</v>
      </c>
      <c r="D17" s="53">
        <v>1</v>
      </c>
      <c r="E17" s="55">
        <v>100000</v>
      </c>
      <c r="F17" s="55">
        <f t="shared" si="0"/>
        <v>100000</v>
      </c>
    </row>
    <row r="18" spans="2:6" x14ac:dyDescent="0.25">
      <c r="B18" s="26" t="s">
        <v>93</v>
      </c>
      <c r="C18" s="26" t="s">
        <v>92</v>
      </c>
      <c r="D18" s="53">
        <v>1</v>
      </c>
      <c r="E18" s="55">
        <v>75000</v>
      </c>
      <c r="F18" s="55">
        <f t="shared" ref="F18:F20" si="1">+E18*D18</f>
        <v>75000</v>
      </c>
    </row>
    <row r="19" spans="2:6" x14ac:dyDescent="0.25">
      <c r="B19" s="45" t="s">
        <v>119</v>
      </c>
      <c r="C19" s="45" t="s">
        <v>120</v>
      </c>
      <c r="D19" s="53">
        <v>1</v>
      </c>
      <c r="E19" s="55">
        <v>110000</v>
      </c>
      <c r="F19" s="55">
        <f t="shared" si="1"/>
        <v>110000</v>
      </c>
    </row>
    <row r="20" spans="2:6" x14ac:dyDescent="0.25">
      <c r="B20" s="45" t="s">
        <v>134</v>
      </c>
      <c r="C20" s="45" t="s">
        <v>135</v>
      </c>
      <c r="D20" s="53">
        <v>1</v>
      </c>
      <c r="E20" s="55">
        <v>900000</v>
      </c>
      <c r="F20" s="55">
        <f t="shared" si="1"/>
        <v>900000</v>
      </c>
    </row>
    <row r="21" spans="2:6" x14ac:dyDescent="0.25">
      <c r="B21" s="45" t="s">
        <v>117</v>
      </c>
      <c r="C21" s="45" t="s">
        <v>117</v>
      </c>
      <c r="D21" s="53">
        <v>1</v>
      </c>
      <c r="E21" s="55">
        <v>300000</v>
      </c>
      <c r="F21" s="55">
        <f t="shared" si="0"/>
        <v>300000</v>
      </c>
    </row>
    <row r="22" spans="2:6" x14ac:dyDescent="0.25">
      <c r="D22" s="75" t="s">
        <v>103</v>
      </c>
      <c r="E22" s="75"/>
      <c r="F22" s="55">
        <f>SUM(F12:F21)</f>
        <v>2535000</v>
      </c>
    </row>
    <row r="24" spans="2:6" x14ac:dyDescent="0.25">
      <c r="B24" s="50" t="s">
        <v>104</v>
      </c>
      <c r="C24" s="49" t="s">
        <v>107</v>
      </c>
    </row>
    <row r="25" spans="2:6" x14ac:dyDescent="0.25">
      <c r="B25" s="51" t="s">
        <v>105</v>
      </c>
      <c r="C25" s="47">
        <v>32000</v>
      </c>
    </row>
    <row r="26" spans="2:6" x14ac:dyDescent="0.25">
      <c r="B26" s="51" t="s">
        <v>106</v>
      </c>
      <c r="C26" s="47">
        <v>27000</v>
      </c>
    </row>
    <row r="27" spans="2:6" x14ac:dyDescent="0.25">
      <c r="B27" s="52" t="s">
        <v>109</v>
      </c>
      <c r="C27" s="63">
        <f>SUM(C25:C26)</f>
        <v>59000</v>
      </c>
    </row>
  </sheetData>
  <mergeCells count="2">
    <mergeCell ref="D22:E22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BARRA (2)</vt:lpstr>
      <vt:lpstr>Hoja3</vt:lpstr>
      <vt:lpstr>INICIAL GLOBAL</vt:lpstr>
      <vt:lpstr>BARRA</vt:lpstr>
      <vt:lpstr>NOMINA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diana marcela arango escobar</cp:lastModifiedBy>
  <dcterms:created xsi:type="dcterms:W3CDTF">2026-05-02T18:04:18Z</dcterms:created>
  <dcterms:modified xsi:type="dcterms:W3CDTF">2026-05-02T18:04:19Z</dcterms:modified>
</cp:coreProperties>
</file>